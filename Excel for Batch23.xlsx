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Interviews\batch23\"/>
    </mc:Choice>
  </mc:AlternateContent>
  <xr:revisionPtr revIDLastSave="0" documentId="13_ncr:1_{2DB59C0A-54FC-47F8-BA28-91554BFB64BA}" xr6:coauthVersionLast="47" xr6:coauthVersionMax="47" xr10:uidLastSave="{00000000-0000-0000-0000-000000000000}"/>
  <bookViews>
    <workbookView xWindow="-120" yWindow="-120" windowWidth="20730" windowHeight="11040" tabRatio="791" firstSheet="11" activeTab="20" xr2:uid="{AE266A49-E809-4277-A811-C747DF6404C8}"/>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7" sheetId="17" r:id="rId14"/>
    <sheet name="Sheet14" sheetId="14" r:id="rId15"/>
    <sheet name="Sheet15" sheetId="18" r:id="rId16"/>
    <sheet name="Sheet16" sheetId="19" r:id="rId17"/>
    <sheet name="Sheet18" sheetId="20" r:id="rId18"/>
    <sheet name="Sheet19" sheetId="21" r:id="rId19"/>
    <sheet name="Sheet20" sheetId="22" r:id="rId20"/>
    <sheet name="Sheet21" sheetId="23" r:id="rId21"/>
  </sheets>
  <definedNames>
    <definedName name="Age">Sheet4!$E$2:$E$51</definedName>
    <definedName name="City">Sheet4!$A$2:$A$51</definedName>
    <definedName name="Dept">Sheet4!$B$2:$B$51</definedName>
    <definedName name="EmpData">Sheet4!$A$1:$E$51</definedName>
    <definedName name="EmpID">Sheet4!$C$2:$C$51</definedName>
    <definedName name="Salary">Sheet4!$D$2:$D$51</definedName>
    <definedName name="SearchID">Sheet4!$I$2</definedName>
    <definedName name="Slicer_Product">#N/A</definedName>
  </definedNames>
  <calcPr calcId="191029"/>
  <pivotCaches>
    <pivotCache cacheId="0"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23" l="1"/>
  <c r="K2" i="23"/>
  <c r="L2" i="22"/>
  <c r="L3" i="22"/>
  <c r="L4" i="22"/>
  <c r="L5" i="22"/>
  <c r="L6" i="22"/>
  <c r="L7" i="22"/>
  <c r="L8" i="22"/>
  <c r="L9" i="22"/>
  <c r="L10" i="22"/>
  <c r="L11" i="22"/>
  <c r="L12" i="22"/>
  <c r="L13" i="22"/>
  <c r="L1" i="22"/>
  <c r="K2" i="22"/>
  <c r="K3" i="22"/>
  <c r="K4" i="22"/>
  <c r="K5" i="22"/>
  <c r="K6" i="22"/>
  <c r="K7" i="22"/>
  <c r="K8" i="22"/>
  <c r="K9" i="22"/>
  <c r="K10" i="22"/>
  <c r="K11" i="22"/>
  <c r="K12" i="22"/>
  <c r="K13" i="22"/>
  <c r="K1" i="22"/>
  <c r="J2" i="22"/>
  <c r="J3" i="22"/>
  <c r="J4" i="22"/>
  <c r="J5" i="22"/>
  <c r="J6" i="22"/>
  <c r="J7" i="22"/>
  <c r="J8" i="22"/>
  <c r="J9" i="22"/>
  <c r="J10" i="22"/>
  <c r="J11" i="22"/>
  <c r="J12" i="22"/>
  <c r="J13" i="22"/>
  <c r="J1" i="22"/>
  <c r="C13" i="21"/>
  <c r="B14" i="21"/>
  <c r="B15" i="21"/>
  <c r="B16" i="21"/>
  <c r="B17" i="21"/>
  <c r="B18" i="21"/>
  <c r="B19" i="21"/>
  <c r="C2" i="21"/>
  <c r="C3" i="21"/>
  <c r="C4" i="21"/>
  <c r="C5" i="21"/>
  <c r="C6" i="21"/>
  <c r="C7" i="21"/>
  <c r="C8" i="21"/>
  <c r="C9" i="21"/>
  <c r="C10" i="21"/>
  <c r="C11" i="21"/>
  <c r="C12" i="21"/>
  <c r="J3" i="20" a="1"/>
  <c r="J3" i="20" s="1"/>
  <c r="F102" i="18"/>
  <c r="B4" i="20" a="1"/>
  <c r="B4" i="20" s="1"/>
  <c r="B1" i="20" a="1"/>
  <c r="B1" i="20" s="1"/>
  <c r="N3" i="19" a="1"/>
  <c r="N3" i="19" s="1"/>
  <c r="L3" i="19" a="1"/>
  <c r="L3" i="19" s="1"/>
  <c r="J3" i="19" a="1"/>
  <c r="J3" i="19" s="1"/>
  <c r="A1" i="19" a="1"/>
  <c r="A1" i="19" s="1"/>
  <c r="L4" i="8"/>
  <c r="L5" i="8"/>
  <c r="L6" i="8"/>
  <c r="L3" i="8"/>
  <c r="K4" i="8"/>
  <c r="K5" i="8"/>
  <c r="K6" i="8"/>
  <c r="K3" i="8"/>
  <c r="H1" i="5"/>
  <c r="G1" i="5"/>
  <c r="H3" i="5"/>
  <c r="H4" i="5"/>
  <c r="H5" i="5"/>
  <c r="H6" i="5"/>
  <c r="H7" i="5"/>
  <c r="H8" i="5"/>
  <c r="H9" i="5"/>
  <c r="H10" i="5"/>
  <c r="H11" i="5"/>
  <c r="H12" i="5"/>
  <c r="H13" i="5"/>
  <c r="H2" i="5"/>
  <c r="G3" i="5"/>
  <c r="G4" i="5"/>
  <c r="G5" i="5"/>
  <c r="G6" i="5"/>
  <c r="G7" i="5"/>
  <c r="G8" i="5"/>
  <c r="G9" i="5"/>
  <c r="G10" i="5"/>
  <c r="G11" i="5"/>
  <c r="G12" i="5"/>
  <c r="G13" i="5"/>
  <c r="G2" i="5"/>
  <c r="L7" i="4"/>
  <c r="L6" i="4"/>
  <c r="L4" i="4"/>
  <c r="L5" i="4"/>
  <c r="I12" i="4" a="1"/>
  <c r="I12" i="4"/>
  <c r="I11" i="4" a="1"/>
  <c r="I11" i="4" s="1"/>
  <c r="I10" i="4" a="1"/>
  <c r="I10" i="4" s="1"/>
  <c r="I9" i="4" a="1"/>
  <c r="I9" i="4"/>
  <c r="I7" i="4"/>
  <c r="I6" i="4"/>
  <c r="I5" i="4"/>
  <c r="I4" i="4"/>
  <c r="P6" i="3"/>
  <c r="P4" i="3"/>
  <c r="J10" i="3"/>
  <c r="J8" i="3"/>
  <c r="J6" i="3"/>
  <c r="J4" i="3"/>
  <c r="D7" i="3"/>
  <c r="D5" i="3"/>
  <c r="D3" i="3"/>
  <c r="P10" i="2"/>
  <c r="P8" i="2"/>
  <c r="P6" i="2"/>
  <c r="D8" i="1"/>
  <c r="C8" i="1"/>
  <c r="G3" i="1"/>
  <c r="G4" i="1"/>
  <c r="G5" i="1"/>
  <c r="G6" i="1"/>
  <c r="G7" i="1"/>
  <c r="G8" i="1"/>
  <c r="G9" i="1"/>
  <c r="G10" i="1"/>
  <c r="G11" i="1"/>
  <c r="G12" i="1"/>
  <c r="G13" i="1"/>
  <c r="G2" i="1"/>
  <c r="E3" i="1"/>
  <c r="E4" i="1"/>
  <c r="E5" i="1"/>
  <c r="E6" i="1"/>
  <c r="E7" i="1"/>
  <c r="E9" i="1"/>
  <c r="E10" i="1"/>
  <c r="E11" i="1"/>
  <c r="E12" i="1"/>
  <c r="E13" i="1"/>
  <c r="E2" i="1"/>
  <c r="D2" i="1"/>
  <c r="D3" i="1"/>
  <c r="D4" i="1"/>
  <c r="D5" i="1"/>
  <c r="D6" i="1"/>
  <c r="D7" i="1"/>
  <c r="D9" i="1"/>
  <c r="D10" i="1"/>
  <c r="D11" i="1"/>
  <c r="D12" i="1"/>
  <c r="D13" i="1"/>
  <c r="C3" i="1"/>
  <c r="C4" i="1"/>
  <c r="C5" i="1"/>
  <c r="C6" i="1"/>
  <c r="C7" i="1"/>
  <c r="E8" i="1"/>
  <c r="C9" i="1"/>
  <c r="C10" i="1"/>
  <c r="C11" i="1"/>
  <c r="C12" i="1"/>
  <c r="C13" i="1"/>
  <c r="C2" i="1"/>
  <c r="L10" i="4"/>
  <c r="L11" i="4"/>
  <c r="L12" i="4"/>
  <c r="L9" i="4"/>
  <c r="K4" i="23" l="1"/>
  <c r="K3" i="23"/>
  <c r="K5" i="23" l="1"/>
  <c r="K6" i="23" l="1"/>
  <c r="K7" i="23" l="1"/>
  <c r="K8" i="23" l="1"/>
  <c r="K9" i="23" l="1"/>
  <c r="K10" i="23" l="1"/>
  <c r="K11" i="23" l="1"/>
  <c r="K13" i="23" l="1"/>
  <c r="K12" i="2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<sst xmlns="http://schemas.openxmlformats.org/spreadsheetml/2006/main" count="1081" uniqueCount="184">
  <si>
    <t>Name</t>
  </si>
  <si>
    <t>Raju</t>
  </si>
  <si>
    <t>Naveen</t>
  </si>
  <si>
    <t>Prasad</t>
  </si>
  <si>
    <t>Anil</t>
  </si>
  <si>
    <t>Sunder</t>
  </si>
  <si>
    <t>Bhakta</t>
  </si>
  <si>
    <t>Vinod</t>
  </si>
  <si>
    <t>Vishal</t>
  </si>
  <si>
    <t>Anand</t>
  </si>
  <si>
    <t>Jeevan</t>
  </si>
  <si>
    <t>Umesh</t>
  </si>
  <si>
    <t>Rajesh</t>
  </si>
  <si>
    <t>Code</t>
  </si>
  <si>
    <t>SCode</t>
  </si>
  <si>
    <t>E</t>
  </si>
  <si>
    <t>M</t>
  </si>
  <si>
    <t>H</t>
  </si>
  <si>
    <t>Subject</t>
  </si>
  <si>
    <t>Maths</t>
  </si>
  <si>
    <t>History</t>
  </si>
  <si>
    <t>Economics</t>
  </si>
  <si>
    <t>Pass</t>
  </si>
  <si>
    <t>Full</t>
  </si>
  <si>
    <t>Minimum</t>
  </si>
  <si>
    <t>Maximum</t>
  </si>
  <si>
    <t>S</t>
  </si>
  <si>
    <t>Interval</t>
  </si>
  <si>
    <t>0-49</t>
  </si>
  <si>
    <t>50-59</t>
  </si>
  <si>
    <t>60-69</t>
  </si>
  <si>
    <t>70-79</t>
  </si>
  <si>
    <t>80-89</t>
  </si>
  <si>
    <t>90-100</t>
  </si>
  <si>
    <t>Grade</t>
  </si>
  <si>
    <t>Fail</t>
  </si>
  <si>
    <t>D</t>
  </si>
  <si>
    <t>C</t>
  </si>
  <si>
    <t>B</t>
  </si>
  <si>
    <t>A</t>
  </si>
  <si>
    <t>Score</t>
  </si>
  <si>
    <t>EmpID</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</si>
  <si>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</si>
  <si>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</si>
  <si>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</si>
  <si>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</si>
  <si>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</si>
  <si>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</si>
  <si>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</si>
  <si>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</si>
  <si>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</si>
  <si>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</si>
  <si>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</si>
  <si>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</si>
  <si>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</si>
  <si>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</si>
  <si>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</si>
  <si>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</si>
  <si>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</si>
  <si>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</si>
  <si>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</si>
  <si>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</si>
  <si>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</si>
  <si>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</si>
  <si>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</si>
  <si>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</si>
  <si>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</si>
  <si>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</si>
  <si>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</si>
  <si>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</si>
  <si>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</si>
  <si>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</si>
  <si>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</si>
  <si>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</si>
  <si>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</si>
  <si>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</si>
  <si>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</si>
  <si>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</si>
  <si>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</si>
  <si>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</si>
  <si>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</si>
  <si>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</si>
  <si>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</si>
  <si>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</si>
  <si>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</si>
  <si>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</si>
  <si>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</si>
  <si>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</si>
  <si>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</si>
  <si>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</si>
  <si>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</si>
  <si>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</si>
  <si>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City</t>
  </si>
  <si>
    <t>Dept</t>
  </si>
  <si>
    <t>Salary</t>
  </si>
  <si>
    <t>Age</t>
  </si>
  <si>
    <t>Amr</t>
  </si>
  <si>
    <t>Sales</t>
  </si>
  <si>
    <t>Che</t>
  </si>
  <si>
    <t>IT</t>
  </si>
  <si>
    <t>Admin</t>
  </si>
  <si>
    <t>Blr</t>
  </si>
  <si>
    <t>HR</t>
  </si>
  <si>
    <t>Mum</t>
  </si>
  <si>
    <t>Del</t>
  </si>
  <si>
    <t>Tri</t>
  </si>
  <si>
    <t>Legal</t>
  </si>
  <si>
    <t>Hyd</t>
  </si>
  <si>
    <t>Month</t>
  </si>
  <si>
    <t>Jan</t>
  </si>
  <si>
    <t>Feb</t>
  </si>
  <si>
    <t>Mar</t>
  </si>
  <si>
    <t>Apr</t>
  </si>
  <si>
    <t>May</t>
  </si>
  <si>
    <t>Jun</t>
  </si>
  <si>
    <t>Jul</t>
  </si>
  <si>
    <t>Aug</t>
  </si>
  <si>
    <t>Sep</t>
  </si>
  <si>
    <t>Oct</t>
  </si>
  <si>
    <t>Nov</t>
  </si>
  <si>
    <t>Dec</t>
  </si>
  <si>
    <t>Target</t>
  </si>
  <si>
    <t>Student</t>
  </si>
  <si>
    <t>S01</t>
  </si>
  <si>
    <t>S02</t>
  </si>
  <si>
    <t>S03</t>
  </si>
  <si>
    <t>S04</t>
  </si>
  <si>
    <t>S05</t>
  </si>
  <si>
    <t>S06</t>
  </si>
  <si>
    <t>S07</t>
  </si>
  <si>
    <t>S08</t>
  </si>
  <si>
    <t>S09</t>
  </si>
  <si>
    <t>S10</t>
  </si>
  <si>
    <t>S11</t>
  </si>
  <si>
    <t>S12</t>
  </si>
  <si>
    <t>S13</t>
  </si>
  <si>
    <t>S14</t>
  </si>
  <si>
    <t>S15</t>
  </si>
  <si>
    <t>good</t>
  </si>
  <si>
    <t>GOOD</t>
  </si>
  <si>
    <t>Good</t>
  </si>
  <si>
    <t>aa</t>
  </si>
  <si>
    <t>ASDF</t>
  </si>
  <si>
    <t>ZAQ</t>
  </si>
  <si>
    <t>Date</t>
  </si>
  <si>
    <t>Elective</t>
  </si>
  <si>
    <t>Law</t>
  </si>
  <si>
    <t>Payment</t>
  </si>
  <si>
    <t>FREE</t>
  </si>
  <si>
    <t>SID</t>
  </si>
  <si>
    <t>Agent</t>
  </si>
  <si>
    <t>Region</t>
  </si>
  <si>
    <t>Product</t>
  </si>
  <si>
    <t>Units</t>
  </si>
  <si>
    <t>Amount</t>
  </si>
  <si>
    <t>Eashwar</t>
  </si>
  <si>
    <t>South</t>
  </si>
  <si>
    <t>Laptop</t>
  </si>
  <si>
    <t>East</t>
  </si>
  <si>
    <t>Webcam</t>
  </si>
  <si>
    <t>Koushik</t>
  </si>
  <si>
    <t>North</t>
  </si>
  <si>
    <t>Projector</t>
  </si>
  <si>
    <t>Sundeep</t>
  </si>
  <si>
    <t>West</t>
  </si>
  <si>
    <t>Printer</t>
  </si>
  <si>
    <t>Ramu</t>
  </si>
  <si>
    <t>Scanner</t>
  </si>
  <si>
    <t>Jagadeesh</t>
  </si>
  <si>
    <t>Row Labels</t>
  </si>
  <si>
    <t>Grand Total</t>
  </si>
  <si>
    <t>Column Labels</t>
  </si>
  <si>
    <t>Sum of Amount</t>
  </si>
  <si>
    <t>50000-59999</t>
  </si>
  <si>
    <t>60000-69999</t>
  </si>
  <si>
    <t>70000-79999</t>
  </si>
  <si>
    <t>80000-89999</t>
  </si>
  <si>
    <t>90000-100000</t>
  </si>
  <si>
    <t>Total</t>
  </si>
  <si>
    <t>Sales 2025</t>
  </si>
  <si>
    <t>Sales 2026</t>
  </si>
  <si>
    <t>Year 2023</t>
  </si>
  <si>
    <t>Year 2024</t>
  </si>
  <si>
    <t>Year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</si>
</sst>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m\/yyyy\ h\:m\:s\ AM/PM"/>
  </numFmts>
  <fonts count="5"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sz val="8"/>
      <name val="Segoe UI"/>
      <family val="2"/>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0" fillId="0" borderId="2" xfId="0" applyBorder="1" applyAlignment="1">
      <alignment horizontal="right"/>
    </xf>
    <xf numFmtId="0" fontId="1" fillId="0" borderId="3" xfId="0" applyFont="1" applyBorder="1"/>
    <xf numFmtId="0" fontId="0" fillId="0" borderId="4" xfId="0" applyBorder="1" applyAlignment="1">
      <alignment horizontal="right"/>
    </xf>
    <xf numFmtId="0" fontId="1" fillId="0" borderId="5" xfId="0" applyFont="1" applyBorder="1"/>
    <xf numFmtId="0" fontId="0" fillId="0" borderId="6" xfId="0" applyBorder="1" applyAlignment="1">
      <alignment horizontal="right"/>
    </xf>
    <xf numFmtId="0" fontId="0" fillId="0" borderId="2" xfId="0" applyBorder="1"/>
    <xf numFmtId="0" fontId="0" fillId="0" borderId="4" xfId="0" applyBorder="1"/>
    <xf numFmtId="0" fontId="0" fillId="0" borderId="6" xfId="0" applyBorder="1"/>
    <xf numFmtId="14" fontId="0" fillId="0" borderId="0" xfId="0" applyNumberFormat="1"/>
    <xf numFmtId="1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3" fillId="0" borderId="0" xfId="0" applyFont="1"/>
  </cellXfs>
  <cellStyles count="1">
    <cellStyle name="Normal" xfId="0" builtinId="0"/>
  </cellStyles>
  <dxfs count="12">
    <dxf>
      <fill>
        <patternFill>
          <bgColor rgb="FFFF9900"/>
        </patternFill>
      </fill>
    </dxf>
    <dxf>
      <fill>
        <patternFill>
          <bgColor theme="5" tint="-0.24994659260841701"/>
        </patternFill>
      </fill>
    </dxf>
    <dxf>
      <fill>
        <patternFill>
          <bgColor theme="1"/>
        </patternFill>
      </fill>
    </dxf>
    <dxf>
      <fill>
        <patternFill>
          <bgColor theme="9" tint="0.39994506668294322"/>
        </patternFill>
      </fill>
    </dxf>
    <dxf>
      <fill>
        <patternFill>
          <bgColor theme="7" tint="0.59996337778862885"/>
        </patternFill>
      </fill>
    </dxf>
    <dxf>
      <fill>
        <patternFill>
          <bgColor theme="5" tint="0.39994506668294322"/>
        </patternFill>
      </fill>
    </dxf>
    <dxf>
      <fill>
        <patternFill>
          <bgColor theme="9" tint="0.39994506668294322"/>
        </patternFill>
      </fill>
    </dxf>
    <dxf>
      <fill>
        <patternFill>
          <bgColor theme="0" tint="-0.499984740745262"/>
        </patternFill>
      </fill>
    </dxf>
    <dxf>
      <fill>
        <patternFill>
          <bgColor theme="1" tint="0.34998626667073579"/>
        </patternFill>
      </fill>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Sheet5!$G$1</c:f>
          <c:strCache>
            <c:ptCount val="1"/>
            <c:pt idx="0">
              <c:v>Top 6</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Sheet5!$G$1</c:f>
              <c:strCache>
                <c:ptCount val="1"/>
                <c:pt idx="0">
                  <c:v>Top 6</c:v>
                </c:pt>
              </c:strCache>
            </c:strRef>
          </c:tx>
          <c:spPr>
            <a:solidFill>
              <a:schemeClr val="bg1">
                <a:lumMod val="65000"/>
              </a:schemeClr>
            </a:solidFill>
            <a:ln>
              <a:noFill/>
            </a:ln>
            <a:effectLst/>
          </c:spPr>
          <c:invertIfNegative val="0"/>
          <c:cat>
            <c:strRef>
              <c:f>Sheet5!$F$2:$F$13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Sheet5!$G$2:$G$13</c:f>
              <c:numCache>
                <c:formatCode>General</c:formatCode>
                <c:ptCount val="12"/>
                <c:pt idx="0">
                  <c:v>7950300</c:v>
                </c:pt>
                <c:pt idx="1">
                  <c:v>#N/A</c:v>
                </c:pt>
                <c:pt idx="2">
                  <c:v>#N/A</c:v>
                </c:pt>
                <c:pt idx="3">
                  <c:v>9566800</c:v>
                </c:pt>
                <c:pt idx="4">
                  <c:v>#N/A</c:v>
                </c:pt>
                <c:pt idx="5">
                  <c:v>#N/A</c:v>
                </c:pt>
                <c:pt idx="6">
                  <c:v>9999999</c:v>
                </c:pt>
                <c:pt idx="7">
                  <c:v>8201100</c:v>
                </c:pt>
                <c:pt idx="8">
                  <c:v>8464300</c:v>
                </c:pt>
                <c:pt idx="9">
                  <c:v>#N/A</c:v>
                </c:pt>
                <c:pt idx="10">
                  <c:v>#N/A</c:v>
                </c:pt>
                <c:pt idx="11">
                  <c:v>9738100</c:v>
                </c:pt>
              </c:numCache>
            </c:numRef>
          </c:val>
          <c:extLst>
            <c:ext xmlns:c16="http://schemas.microsoft.com/office/drawing/2014/chart" uri="{C3380CC4-5D6E-409C-BE32-E72D297353CC}">
              <c16:uniqueId val="{00000000-4299-4C6B-B850-FC57D2D2F152}"/>
            </c:ext>
          </c:extLst>
        </c:ser>
        <c:ser>
          <c:idx val="1"/>
          <c:order val="1"/>
          <c:tx>
            <c:strRef>
              <c:f>Sheet5!$H$1</c:f>
              <c:strCache>
                <c:ptCount val="1"/>
                <c:pt idx="0">
                  <c:v>Not Top 6</c:v>
                </c:pt>
              </c:strCache>
            </c:strRef>
          </c:tx>
          <c:spPr>
            <a:solidFill>
              <a:schemeClr val="tx1">
                <a:lumMod val="65000"/>
                <a:lumOff val="35000"/>
              </a:schemeClr>
            </a:solidFill>
            <a:ln>
              <a:noFill/>
            </a:ln>
            <a:effectLst/>
          </c:spPr>
          <c:invertIfNegative val="0"/>
          <c:cat>
            <c:strRef>
              <c:f>Sheet5!$F$2:$F$13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Sheet5!$H$2:$H$13</c:f>
              <c:numCache>
                <c:formatCode>General</c:formatCode>
                <c:ptCount val="12"/>
                <c:pt idx="0">
                  <c:v>#N/A</c:v>
                </c:pt>
                <c:pt idx="1">
                  <c:v>5206200</c:v>
                </c:pt>
                <c:pt idx="2">
                  <c:v>5201200</c:v>
                </c:pt>
                <c:pt idx="3">
                  <c:v>#N/A</c:v>
                </c:pt>
                <c:pt idx="4">
                  <c:v>7686100</c:v>
                </c:pt>
                <c:pt idx="5">
                  <c:v>7873500</c:v>
                </c:pt>
                <c:pt idx="6">
                  <c:v>#N/A</c:v>
                </c:pt>
                <c:pt idx="7">
                  <c:v>#N/A</c:v>
                </c:pt>
                <c:pt idx="8">
                  <c:v>#N/A</c:v>
                </c:pt>
                <c:pt idx="9">
                  <c:v>5042500</c:v>
                </c:pt>
                <c:pt idx="10">
                  <c:v>6993900</c:v>
                </c:pt>
                <c:pt idx="11">
                  <c:v>#N/A</c:v>
                </c:pt>
              </c:numCache>
            </c:numRef>
          </c:val>
          <c:extLst>
            <c:ext xmlns:c16="http://schemas.microsoft.com/office/drawing/2014/chart" uri="{C3380CC4-5D6E-409C-BE32-E72D297353CC}">
              <c16:uniqueId val="{00000001-4299-4C6B-B850-FC57D2D2F152}"/>
            </c:ext>
          </c:extLst>
        </c:ser>
        <c:dLbls>
          <c:showLegendKey val="0"/>
          <c:showVal val="0"/>
          <c:showCatName val="0"/>
          <c:showSerName val="0"/>
          <c:showPercent val="0"/>
          <c:showBubbleSize val="0"/>
        </c:dLbls>
        <c:gapWidth val="219"/>
        <c:overlap val="100"/>
        <c:axId val="1445195151"/>
        <c:axId val="1445188911"/>
      </c:barChart>
      <c:catAx>
        <c:axId val="144519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88911"/>
        <c:crosses val="autoZero"/>
        <c:auto val="1"/>
        <c:lblAlgn val="ctr"/>
        <c:lblOffset val="100"/>
        <c:noMultiLvlLbl val="0"/>
      </c:catAx>
      <c:valAx>
        <c:axId val="1445188911"/>
        <c:scaling>
          <c:orientation val="minMax"/>
        </c:scaling>
        <c:delete val="1"/>
        <c:axPos val="l"/>
        <c:numFmt formatCode="General" sourceLinked="1"/>
        <c:majorTickMark val="none"/>
        <c:minorTickMark val="none"/>
        <c:tickLblPos val="nextTo"/>
        <c:crossAx val="144519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Sheet6!$C$1</c:f>
          <c:strCache>
            <c:ptCount val="1"/>
            <c:pt idx="0">
              <c:v>Target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Sheet6!$B$1</c:f>
              <c:strCache>
                <c:ptCount val="1"/>
                <c:pt idx="0">
                  <c:v>Sales</c:v>
                </c:pt>
              </c:strCache>
            </c:strRef>
          </c:tx>
          <c:spPr>
            <a:solidFill>
              <a:schemeClr val="tx1">
                <a:lumMod val="50000"/>
                <a:lumOff val="50000"/>
              </a:schemeClr>
            </a:solidFill>
            <a:ln>
              <a:noFill/>
            </a:ln>
            <a:effectLst/>
          </c:spPr>
          <c:invertIfNegative val="0"/>
          <c:cat>
            <c:strRef>
              <c:f>Sheet6!$A$2:$A$13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Sheet6!$B$2:$B$13</c:f>
              <c:numCache>
                <c:formatCode>General</c:formatCode>
                <c:ptCount val="12"/>
                <c:pt idx="0">
                  <c:v>630050</c:v>
                </c:pt>
                <c:pt idx="1">
                  <c:v>724200</c:v>
                </c:pt>
                <c:pt idx="2">
                  <c:v>313480</c:v>
                </c:pt>
                <c:pt idx="3">
                  <c:v>227860</c:v>
                </c:pt>
                <c:pt idx="4">
                  <c:v>658660</c:v>
                </c:pt>
                <c:pt idx="5">
                  <c:v>383890</c:v>
                </c:pt>
                <c:pt idx="6">
                  <c:v>245880</c:v>
                </c:pt>
                <c:pt idx="7">
                  <c:v>517920</c:v>
                </c:pt>
                <c:pt idx="8">
                  <c:v>718350</c:v>
                </c:pt>
                <c:pt idx="9">
                  <c:v>496780</c:v>
                </c:pt>
                <c:pt idx="10">
                  <c:v>402990</c:v>
                </c:pt>
                <c:pt idx="11">
                  <c:v>285930</c:v>
                </c:pt>
              </c:numCache>
            </c:numRef>
          </c:val>
          <c:extLst>
            <c:ext xmlns:c16="http://schemas.microsoft.com/office/drawing/2014/chart" uri="{C3380CC4-5D6E-409C-BE32-E72D297353CC}">
              <c16:uniqueId val="{00000000-03DB-490A-BD3E-C570E9E7C3D1}"/>
            </c:ext>
          </c:extLst>
        </c:ser>
        <c:dLbls>
          <c:showLegendKey val="0"/>
          <c:showVal val="0"/>
          <c:showCatName val="0"/>
          <c:showSerName val="0"/>
          <c:showPercent val="0"/>
          <c:showBubbleSize val="0"/>
        </c:dLbls>
        <c:gapWidth val="219"/>
        <c:overlap val="-27"/>
        <c:axId val="113919391"/>
        <c:axId val="113916511"/>
      </c:barChart>
      <c:barChart>
        <c:barDir val="col"/>
        <c:grouping val="clustered"/>
        <c:varyColors val="0"/>
        <c:ser>
          <c:idx val="1"/>
          <c:order val="1"/>
          <c:tx>
            <c:strRef>
              <c:f>Sheet6!$C$1</c:f>
              <c:strCache>
                <c:ptCount val="1"/>
                <c:pt idx="0">
                  <c:v>Target</c:v>
                </c:pt>
              </c:strCache>
            </c:strRef>
          </c:tx>
          <c:spPr>
            <a:solidFill>
              <a:schemeClr val="tx1">
                <a:lumMod val="65000"/>
                <a:lumOff val="35000"/>
                <a:alpha val="33000"/>
              </a:schemeClr>
            </a:solidFill>
            <a:ln>
              <a:solidFill>
                <a:schemeClr val="tx1">
                  <a:lumMod val="75000"/>
                  <a:lumOff val="25000"/>
                </a:schemeClr>
              </a:solidFill>
            </a:ln>
            <a:effectLst/>
          </c:spPr>
          <c:invertIfNegative val="0"/>
          <c:cat>
            <c:strRef>
              <c:f>Sheet6!$A$2:$A$13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Sheet6!$C$2:$C$13</c:f>
              <c:numCache>
                <c:formatCode>General</c:formatCode>
                <c:ptCount val="12"/>
                <c:pt idx="0">
                  <c:v>724270</c:v>
                </c:pt>
                <c:pt idx="1">
                  <c:v>533000</c:v>
                </c:pt>
                <c:pt idx="2">
                  <c:v>430760</c:v>
                </c:pt>
                <c:pt idx="3">
                  <c:v>329520</c:v>
                </c:pt>
                <c:pt idx="4">
                  <c:v>550800</c:v>
                </c:pt>
                <c:pt idx="5">
                  <c:v>450650</c:v>
                </c:pt>
                <c:pt idx="6">
                  <c:v>560390</c:v>
                </c:pt>
                <c:pt idx="7">
                  <c:v>537790</c:v>
                </c:pt>
                <c:pt idx="8">
                  <c:v>297100</c:v>
                </c:pt>
                <c:pt idx="9">
                  <c:v>707660</c:v>
                </c:pt>
                <c:pt idx="10">
                  <c:v>727290</c:v>
                </c:pt>
                <c:pt idx="11">
                  <c:v>629260</c:v>
                </c:pt>
              </c:numCache>
            </c:numRef>
          </c:val>
          <c:extLst>
            <c:ext xmlns:c16="http://schemas.microsoft.com/office/drawing/2014/chart" uri="{C3380CC4-5D6E-409C-BE32-E72D297353CC}">
              <c16:uniqueId val="{00000001-03DB-490A-BD3E-C570E9E7C3D1}"/>
            </c:ext>
          </c:extLst>
        </c:ser>
        <c:dLbls>
          <c:showLegendKey val="0"/>
          <c:showVal val="0"/>
          <c:showCatName val="0"/>
          <c:showSerName val="0"/>
          <c:showPercent val="0"/>
          <c:showBubbleSize val="0"/>
        </c:dLbls>
        <c:gapWidth val="109"/>
        <c:overlap val="-27"/>
        <c:axId val="1445202831"/>
        <c:axId val="1445202351"/>
      </c:barChart>
      <c:catAx>
        <c:axId val="11391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16511"/>
        <c:crosses val="autoZero"/>
        <c:auto val="1"/>
        <c:lblAlgn val="ctr"/>
        <c:lblOffset val="100"/>
        <c:noMultiLvlLbl val="0"/>
      </c:catAx>
      <c:valAx>
        <c:axId val="113916511"/>
        <c:scaling>
          <c:orientation val="minMax"/>
          <c:max val="900000"/>
          <c:min val="0"/>
        </c:scaling>
        <c:delete val="1"/>
        <c:axPos val="l"/>
        <c:numFmt formatCode="General" sourceLinked="1"/>
        <c:majorTickMark val="none"/>
        <c:minorTickMark val="none"/>
        <c:tickLblPos val="nextTo"/>
        <c:crossAx val="113919391"/>
        <c:crosses val="autoZero"/>
        <c:crossBetween val="between"/>
      </c:valAx>
      <c:valAx>
        <c:axId val="1445202351"/>
        <c:scaling>
          <c:orientation val="minMax"/>
          <c:max val="900000"/>
          <c:min val="0"/>
        </c:scaling>
        <c:delete val="1"/>
        <c:axPos val="r"/>
        <c:numFmt formatCode="General" sourceLinked="1"/>
        <c:majorTickMark val="out"/>
        <c:minorTickMark val="none"/>
        <c:tickLblPos val="nextTo"/>
        <c:crossAx val="1445202831"/>
        <c:crosses val="max"/>
        <c:crossBetween val="between"/>
      </c:valAx>
      <c:catAx>
        <c:axId val="1445202831"/>
        <c:scaling>
          <c:orientation val="minMax"/>
        </c:scaling>
        <c:delete val="1"/>
        <c:axPos val="b"/>
        <c:numFmt formatCode="General" sourceLinked="1"/>
        <c:majorTickMark val="out"/>
        <c:minorTickMark val="none"/>
        <c:tickLblPos val="nextTo"/>
        <c:crossAx val="14452023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Sheet19!$B$1</c:f>
              <c:strCache>
                <c:ptCount val="1"/>
                <c:pt idx="0">
                  <c:v>Sales 2025</c:v>
                </c:pt>
              </c:strCache>
            </c:strRef>
          </c:tx>
          <c:spPr>
            <a:ln w="28575" cap="rnd">
              <a:solidFill>
                <a:schemeClr val="accent1"/>
              </a:solidFill>
              <a:round/>
            </a:ln>
            <a:effectLst/>
          </c:spPr>
          <c:marker>
            <c:symbol val="none"/>
          </c:marker>
          <c:cat>
            <c:strRef>
              <c:f>Sheet19!$A$2:$A$19</c:f>
              <c:strCache>
                <c:ptCount val="18"/>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strCache>
            </c:strRef>
          </c:cat>
          <c:val>
            <c:numRef>
              <c:f>Sheet19!$B$2:$B$19</c:f>
              <c:numCache>
                <c:formatCode>General</c:formatCode>
                <c:ptCount val="18"/>
                <c:pt idx="0">
                  <c:v>180000</c:v>
                </c:pt>
                <c:pt idx="1">
                  <c:v>206111</c:v>
                </c:pt>
                <c:pt idx="2">
                  <c:v>217360</c:v>
                </c:pt>
                <c:pt idx="3">
                  <c:v>255727</c:v>
                </c:pt>
                <c:pt idx="4">
                  <c:v>274722</c:v>
                </c:pt>
                <c:pt idx="5">
                  <c:v>283843</c:v>
                </c:pt>
                <c:pt idx="6">
                  <c:v>342521</c:v>
                </c:pt>
                <c:pt idx="7">
                  <c:v>374040</c:v>
                </c:pt>
                <c:pt idx="8">
                  <c:v>368605</c:v>
                </c:pt>
                <c:pt idx="9">
                  <c:v>386290</c:v>
                </c:pt>
                <c:pt idx="10">
                  <c:v>381075</c:v>
                </c:pt>
                <c:pt idx="11">
                  <c:v>405767</c:v>
                </c:pt>
                <c:pt idx="12">
                  <c:v>#N/A</c:v>
                </c:pt>
                <c:pt idx="13">
                  <c:v>#N/A</c:v>
                </c:pt>
                <c:pt idx="14">
                  <c:v>#N/A</c:v>
                </c:pt>
                <c:pt idx="15">
                  <c:v>#N/A</c:v>
                </c:pt>
                <c:pt idx="16">
                  <c:v>#N/A</c:v>
                </c:pt>
                <c:pt idx="17">
                  <c:v>#N/A</c:v>
                </c:pt>
              </c:numCache>
            </c:numRef>
          </c:val>
          <c:smooth val="0"/>
          <c:extLst>
            <c:ext xmlns:c16="http://schemas.microsoft.com/office/drawing/2014/chart" uri="{C3380CC4-5D6E-409C-BE32-E72D297353CC}">
              <c16:uniqueId val="{00000000-A35F-4DAB-BB78-9EBDDE6E4346}"/>
            </c:ext>
          </c:extLst>
        </c:ser>
        <c:ser>
          <c:idx val="1"/>
          <c:order val="1"/>
          <c:tx>
            <c:strRef>
              <c:f>Sheet19!$C$1</c:f>
              <c:strCache>
                <c:ptCount val="1"/>
                <c:pt idx="0">
                  <c:v>Sales 2026</c:v>
                </c:pt>
              </c:strCache>
            </c:strRef>
          </c:tx>
          <c:spPr>
            <a:ln w="38100" cap="rnd">
              <a:solidFill>
                <a:schemeClr val="accent2"/>
              </a:solidFill>
              <a:round/>
            </a:ln>
            <a:effectLst/>
          </c:spPr>
          <c:marker>
            <c:symbol val="none"/>
          </c:marker>
          <c:cat>
            <c:strRef>
              <c:f>Sheet19!$A$2:$A$19</c:f>
              <c:strCache>
                <c:ptCount val="18"/>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strCache>
            </c:strRef>
          </c:cat>
          <c:val>
            <c:numRef>
              <c:f>Sheet19!$C$2:$C$19</c:f>
              <c:numCache>
                <c:formatCode>General</c:formatCode>
                <c:ptCount val="18"/>
                <c:pt idx="0">
                  <c:v>#N/A</c:v>
                </c:pt>
                <c:pt idx="1">
                  <c:v>#N/A</c:v>
                </c:pt>
                <c:pt idx="2">
                  <c:v>#N/A</c:v>
                </c:pt>
                <c:pt idx="3">
                  <c:v>#N/A</c:v>
                </c:pt>
                <c:pt idx="4">
                  <c:v>#N/A</c:v>
                </c:pt>
                <c:pt idx="5">
                  <c:v>#N/A</c:v>
                </c:pt>
                <c:pt idx="6">
                  <c:v>#N/A</c:v>
                </c:pt>
                <c:pt idx="7">
                  <c:v>#N/A</c:v>
                </c:pt>
                <c:pt idx="8">
                  <c:v>#N/A</c:v>
                </c:pt>
                <c:pt idx="9">
                  <c:v>#N/A</c:v>
                </c:pt>
                <c:pt idx="10">
                  <c:v>#N/A</c:v>
                </c:pt>
                <c:pt idx="11">
                  <c:v>405767</c:v>
                </c:pt>
                <c:pt idx="12">
                  <c:v>435300</c:v>
                </c:pt>
                <c:pt idx="13">
                  <c:v>427385</c:v>
                </c:pt>
                <c:pt idx="14">
                  <c:v>408007</c:v>
                </c:pt>
                <c:pt idx="15">
                  <c:v>466980</c:v>
                </c:pt>
                <c:pt idx="16">
                  <c:v>481677</c:v>
                </c:pt>
                <c:pt idx="17">
                  <c:v>469420</c:v>
                </c:pt>
              </c:numCache>
            </c:numRef>
          </c:val>
          <c:smooth val="0"/>
          <c:extLst>
            <c:ext xmlns:c16="http://schemas.microsoft.com/office/drawing/2014/chart" uri="{C3380CC4-5D6E-409C-BE32-E72D297353CC}">
              <c16:uniqueId val="{00000001-A35F-4DAB-BB78-9EBDDE6E4346}"/>
            </c:ext>
          </c:extLst>
        </c:ser>
        <c:dLbls>
          <c:showLegendKey val="0"/>
          <c:showVal val="0"/>
          <c:showCatName val="0"/>
          <c:showSerName val="0"/>
          <c:showPercent val="0"/>
          <c:showBubbleSize val="0"/>
        </c:dLbls>
        <c:smooth val="0"/>
        <c:axId val="698281071"/>
        <c:axId val="509635087"/>
      </c:lineChart>
      <c:catAx>
        <c:axId val="698281071"/>
        <c:scaling>
          <c:orientation val="minMax"/>
        </c:scaling>
        <c:delete val="1"/>
        <c:axPos val="b"/>
        <c:numFmt formatCode="General" sourceLinked="1"/>
        <c:majorTickMark val="none"/>
        <c:minorTickMark val="none"/>
        <c:tickLblPos val="nextTo"/>
        <c:crossAx val="509635087"/>
        <c:crosses val="autoZero"/>
        <c:auto val="1"/>
        <c:lblAlgn val="ctr"/>
        <c:lblOffset val="100"/>
        <c:noMultiLvlLbl val="0"/>
      </c:catAx>
      <c:valAx>
        <c:axId val="5096350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828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Sheet20!$J$1</c:f>
              <c:strCache>
                <c:ptCount val="1"/>
                <c:pt idx="0">
                  <c:v>Year 2023</c:v>
                </c:pt>
              </c:strCache>
            </c:strRef>
          </c:tx>
          <c:spPr>
            <a:solidFill>
              <a:schemeClr val="accent1"/>
            </a:solidFill>
            <a:ln>
              <a:noFill/>
            </a:ln>
            <a:effectLst/>
          </c:spPr>
          <c:invertIfNegative val="0"/>
          <c:cat>
            <c:strRef>
              <c:f>Sheet20!$I$2:$I$13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Sheet20!$J$2:$J$13</c:f>
              <c:numCache>
                <c:formatCode>General</c:formatCode>
                <c:ptCount val="12"/>
                <c:pt idx="0">
                  <c:v>712570</c:v>
                </c:pt>
                <c:pt idx="1">
                  <c:v>448440</c:v>
                </c:pt>
                <c:pt idx="2">
                  <c:v>624920</c:v>
                </c:pt>
                <c:pt idx="3">
                  <c:v>832300</c:v>
                </c:pt>
                <c:pt idx="4">
                  <c:v>688760</c:v>
                </c:pt>
                <c:pt idx="5">
                  <c:v>385990</c:v>
                </c:pt>
                <c:pt idx="6">
                  <c:v>542040</c:v>
                </c:pt>
                <c:pt idx="7">
                  <c:v>757510</c:v>
                </c:pt>
                <c:pt idx="8">
                  <c:v>784240</c:v>
                </c:pt>
                <c:pt idx="9">
                  <c:v>773390</c:v>
                </c:pt>
                <c:pt idx="10">
                  <c:v>386270</c:v>
                </c:pt>
                <c:pt idx="11">
                  <c:v>478070</c:v>
                </c:pt>
              </c:numCache>
            </c:numRef>
          </c:val>
          <c:extLst>
            <c:ext xmlns:c16="http://schemas.microsoft.com/office/drawing/2014/chart" uri="{C3380CC4-5D6E-409C-BE32-E72D297353CC}">
              <c16:uniqueId val="{00000000-AD7B-4DCA-AB4C-DAD72C4BC4A2}"/>
            </c:ext>
          </c:extLst>
        </c:ser>
        <c:ser>
          <c:idx val="1"/>
          <c:order val="1"/>
          <c:tx>
            <c:strRef>
              <c:f>Sheet20!$K$1</c:f>
              <c:strCache>
                <c:ptCount val="1"/>
                <c:pt idx="0">
                  <c:v>Year 2024</c:v>
                </c:pt>
              </c:strCache>
            </c:strRef>
          </c:tx>
          <c:spPr>
            <a:solidFill>
              <a:schemeClr val="accent2"/>
            </a:solidFill>
            <a:ln>
              <a:noFill/>
            </a:ln>
            <a:effectLst/>
          </c:spPr>
          <c:invertIfNegative val="0"/>
          <c:cat>
            <c:strRef>
              <c:f>Sheet20!$I$2:$I$13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Sheet20!$K$2:$K$13</c:f>
              <c:numCache>
                <c:formatCode>General</c:formatCode>
                <c:ptCount val="12"/>
                <c:pt idx="0">
                  <c:v>839750</c:v>
                </c:pt>
                <c:pt idx="1">
                  <c:v>863520</c:v>
                </c:pt>
                <c:pt idx="2">
                  <c:v>829700</c:v>
                </c:pt>
                <c:pt idx="3">
                  <c:v>400370</c:v>
                </c:pt>
                <c:pt idx="4">
                  <c:v>640840</c:v>
                </c:pt>
                <c:pt idx="5">
                  <c:v>243720</c:v>
                </c:pt>
                <c:pt idx="6">
                  <c:v>582440</c:v>
                </c:pt>
                <c:pt idx="7">
                  <c:v>559580</c:v>
                </c:pt>
                <c:pt idx="8">
                  <c:v>675190</c:v>
                </c:pt>
                <c:pt idx="9">
                  <c:v>717230</c:v>
                </c:pt>
                <c:pt idx="10">
                  <c:v>754750</c:v>
                </c:pt>
                <c:pt idx="11">
                  <c:v>865670</c:v>
                </c:pt>
              </c:numCache>
            </c:numRef>
          </c:val>
          <c:extLst>
            <c:ext xmlns:c16="http://schemas.microsoft.com/office/drawing/2014/chart" uri="{C3380CC4-5D6E-409C-BE32-E72D297353CC}">
              <c16:uniqueId val="{00000001-AD7B-4DCA-AB4C-DAD72C4BC4A2}"/>
            </c:ext>
          </c:extLst>
        </c:ser>
        <c:ser>
          <c:idx val="2"/>
          <c:order val="2"/>
          <c:tx>
            <c:strRef>
              <c:f>Sheet20!$L$1</c:f>
              <c:strCache>
                <c:ptCount val="1"/>
                <c:pt idx="0">
                  <c:v>Year 2025</c:v>
                </c:pt>
              </c:strCache>
            </c:strRef>
          </c:tx>
          <c:spPr>
            <a:solidFill>
              <a:schemeClr val="accent3"/>
            </a:solidFill>
            <a:ln>
              <a:noFill/>
            </a:ln>
            <a:effectLst/>
          </c:spPr>
          <c:invertIfNegative val="0"/>
          <c:cat>
            <c:strRef>
              <c:f>Sheet20!$I$2:$I$13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Sheet20!$L$2:$L$13</c:f>
              <c:numCache>
                <c:formatCode>General</c:formatCode>
                <c:ptCount val="12"/>
                <c:pt idx="0">
                  <c:v>641240</c:v>
                </c:pt>
                <c:pt idx="1">
                  <c:v>555070</c:v>
                </c:pt>
                <c:pt idx="2">
                  <c:v>714550</c:v>
                </c:pt>
                <c:pt idx="3">
                  <c:v>684550</c:v>
                </c:pt>
                <c:pt idx="4">
                  <c:v>732220</c:v>
                </c:pt>
                <c:pt idx="5">
                  <c:v>723550</c:v>
                </c:pt>
                <c:pt idx="6">
                  <c:v>490540</c:v>
                </c:pt>
                <c:pt idx="7">
                  <c:v>300100</c:v>
                </c:pt>
                <c:pt idx="8">
                  <c:v>202310</c:v>
                </c:pt>
                <c:pt idx="9">
                  <c:v>321420</c:v>
                </c:pt>
                <c:pt idx="10">
                  <c:v>491560</c:v>
                </c:pt>
                <c:pt idx="11">
                  <c:v>825820</c:v>
                </c:pt>
              </c:numCache>
            </c:numRef>
          </c:val>
          <c:extLst>
            <c:ext xmlns:c16="http://schemas.microsoft.com/office/drawing/2014/chart" uri="{C3380CC4-5D6E-409C-BE32-E72D297353CC}">
              <c16:uniqueId val="{00000002-AD7B-4DCA-AB4C-DAD72C4BC4A2}"/>
            </c:ext>
          </c:extLst>
        </c:ser>
        <c:dLbls>
          <c:showLegendKey val="0"/>
          <c:showVal val="0"/>
          <c:showCatName val="0"/>
          <c:showSerName val="0"/>
          <c:showPercent val="0"/>
          <c:showBubbleSize val="0"/>
        </c:dLbls>
        <c:gapWidth val="219"/>
        <c:overlap val="-27"/>
        <c:axId val="698246031"/>
        <c:axId val="698247471"/>
      </c:barChart>
      <c:catAx>
        <c:axId val="698246031"/>
        <c:scaling>
          <c:orientation val="minMax"/>
        </c:scaling>
        <c:delete val="1"/>
        <c:axPos val="b"/>
        <c:numFmt formatCode="General" sourceLinked="1"/>
        <c:majorTickMark val="none"/>
        <c:minorTickMark val="none"/>
        <c:tickLblPos val="nextTo"/>
        <c:crossAx val="698247471"/>
        <c:crosses val="autoZero"/>
        <c:auto val="1"/>
        <c:lblAlgn val="ctr"/>
        <c:lblOffset val="100"/>
        <c:noMultiLvlLbl val="0"/>
      </c:catAx>
      <c:valAx>
        <c:axId val="698247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824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Sheet21!$K$1</c:f>
              <c:strCache>
                <c:ptCount val="1"/>
                <c:pt idx="0">
                  <c:v>Year 2025</c:v>
                </c:pt>
              </c:strCache>
            </c:strRef>
          </c:tx>
          <c:spPr>
            <a:ln w="28575" cap="rnd">
              <a:solidFill>
                <a:schemeClr val="accent1"/>
              </a:solidFill>
              <a:round/>
            </a:ln>
            <a:effectLst/>
          </c:spPr>
          <c:marker>
            <c:symbol val="none"/>
          </c:marker>
          <c:cat>
            <c:strRef>
              <c:f>Sheet21!$J$2:$J$13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Sheet21!$K$2:$K$13</c:f>
              <c:numCache>
                <c:formatCode>General</c:formatCode>
                <c:ptCount val="12"/>
                <c:pt idx="0">
                  <c:v>200000</c:v>
                </c:pt>
                <c:pt idx="1">
                  <c:v>233812</c:v>
                </c:pt>
                <c:pt idx="2">
                  <c:v>251898</c:v>
                </c:pt>
                <c:pt idx="3">
                  <c:v>263601</c:v>
                </c:pt>
                <c:pt idx="4">
                  <c:v>245426</c:v>
                </c:pt>
                <c:pt idx="5">
                  <c:v>255827</c:v>
                </c:pt>
                <c:pt idx="6">
                  <c:v>293141</c:v>
                </c:pt>
                <c:pt idx="7">
                  <c:v>310825</c:v>
                </c:pt>
                <c:pt idx="8">
                  <c:v>306665</c:v>
                </c:pt>
                <c:pt idx="9">
                  <c:v>332270</c:v>
                </c:pt>
                <c:pt idx="10">
                  <c:v>342137</c:v>
                </c:pt>
                <c:pt idx="11">
                  <c:v>347571</c:v>
                </c:pt>
              </c:numCache>
            </c:numRef>
          </c:val>
          <c:smooth val="0"/>
          <c:extLst>
            <c:ext xmlns:c16="http://schemas.microsoft.com/office/drawing/2014/chart" uri="{C3380CC4-5D6E-409C-BE32-E72D297353CC}">
              <c16:uniqueId val="{00000000-E015-416E-AB1D-A23ADB8A3E33}"/>
            </c:ext>
          </c:extLst>
        </c:ser>
        <c:dLbls>
          <c:showLegendKey val="0"/>
          <c:showVal val="0"/>
          <c:showCatName val="0"/>
          <c:showSerName val="0"/>
          <c:showPercent val="0"/>
          <c:showBubbleSize val="0"/>
        </c:dLbls>
        <c:smooth val="0"/>
        <c:axId val="927567407"/>
        <c:axId val="927565967"/>
      </c:lineChart>
      <c:catAx>
        <c:axId val="927567407"/>
        <c:scaling>
          <c:orientation val="minMax"/>
        </c:scaling>
        <c:delete val="1"/>
        <c:axPos val="b"/>
        <c:numFmt formatCode="General" sourceLinked="1"/>
        <c:majorTickMark val="none"/>
        <c:minorTickMark val="none"/>
        <c:tickLblPos val="nextTo"/>
        <c:crossAx val="927565967"/>
        <c:crosses val="autoZero"/>
        <c:auto val="1"/>
        <c:lblAlgn val="ctr"/>
        <c:lblOffset val="100"/>
        <c:noMultiLvlLbl val="0"/>
      </c:catAx>
      <c:valAx>
        <c:axId val="927565967"/>
        <c:scaling>
          <c:orientation val="minMax"/>
        </c:scaling>
        <c:delete val="1"/>
        <c:axPos val="l"/>
        <c:numFmt formatCode="General" sourceLinked="1"/>
        <c:majorTickMark val="none"/>
        <c:minorTickMark val="none"/>
        <c:tickLblPos val="nextTo"/>
        <c:crossAx val="927567407"/>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2" fmlaLink="$D$2" max="6" min="1" page="10" val="6"/>
</file>

<file path=xl/ctrlProps/ctrlProp2.xml><?xml version="1.0" encoding="utf-8"?>
<formControlPr xmlns="http://schemas.microsoft.com/office/spreadsheetml/2009/9/main" objectType="CheckBox" checked="Checked" fmlaLink="$G$6" lockText="1" noThreeD="1"/>
</file>

<file path=xl/ctrlProps/ctrlProp3.xml><?xml version="1.0" encoding="utf-8"?>
<formControlPr xmlns="http://schemas.microsoft.com/office/spreadsheetml/2009/9/main" objectType="CheckBox" checked="Checked" fmlaLink="$G$7" lockText="1" noThreeD="1"/>
</file>

<file path=xl/ctrlProps/ctrlProp4.xml><?xml version="1.0" encoding="utf-8"?>
<formControlPr xmlns="http://schemas.microsoft.com/office/spreadsheetml/2009/9/main" objectType="CheckBox" checked="Checked" fmlaLink="$G$8" lockText="1" noThreeD="1"/>
</file>

<file path=xl/ctrlProps/ctrlProp5.xml><?xml version="1.0" encoding="utf-8"?>
<formControlPr xmlns="http://schemas.microsoft.com/office/spreadsheetml/2009/9/main" objectType="Radio" firstButton="1" fmlaLink="$H$6"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240197</xdr:colOff>
      <xdr:row>1</xdr:row>
      <xdr:rowOff>19879</xdr:rowOff>
    </xdr:from>
    <xdr:to>
      <xdr:col>15</xdr:col>
      <xdr:colOff>331304</xdr:colOff>
      <xdr:row>15</xdr:row>
      <xdr:rowOff>96079</xdr:rowOff>
    </xdr:to>
    <xdr:graphicFrame macro="">
      <xdr:nvGraphicFramePr>
        <xdr:cNvPr id="3" name="Chart 2">
          <a:extLst>
            <a:ext uri="{FF2B5EF4-FFF2-40B4-BE49-F238E27FC236}">
              <a16:creationId xmlns:a16="http://schemas.microsoft.com/office/drawing/2014/main" id="{23641BF4-93D5-E26F-F394-7B47451F5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2</xdr:col>
          <xdr:colOff>238125</xdr:colOff>
          <xdr:row>0</xdr:row>
          <xdr:rowOff>161925</xdr:rowOff>
        </xdr:from>
        <xdr:to>
          <xdr:col>2</xdr:col>
          <xdr:colOff>590550</xdr:colOff>
          <xdr:row>2</xdr:row>
          <xdr:rowOff>66675</xdr:rowOff>
        </xdr:to>
        <xdr:sp macro="" textlink="">
          <xdr:nvSpPr>
            <xdr:cNvPr id="5121" name="Spinner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579783</xdr:colOff>
      <xdr:row>0</xdr:row>
      <xdr:rowOff>115957</xdr:rowOff>
    </xdr:from>
    <xdr:to>
      <xdr:col>14</xdr:col>
      <xdr:colOff>314739</xdr:colOff>
      <xdr:row>15</xdr:row>
      <xdr:rowOff>71230</xdr:rowOff>
    </xdr:to>
    <xdr:graphicFrame macro="">
      <xdr:nvGraphicFramePr>
        <xdr:cNvPr id="2" name="Chart 1">
          <a:extLst>
            <a:ext uri="{FF2B5EF4-FFF2-40B4-BE49-F238E27FC236}">
              <a16:creationId xmlns:a16="http://schemas.microsoft.com/office/drawing/2014/main" id="{B3EF5587-9C2E-8918-FD60-ACB3FAAD0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638175</xdr:colOff>
      <xdr:row>15</xdr:row>
      <xdr:rowOff>180975</xdr:rowOff>
    </xdr:from>
    <xdr:to>
      <xdr:col>8</xdr:col>
      <xdr:colOff>209550</xdr:colOff>
      <xdr:row>25</xdr:row>
      <xdr:rowOff>85725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67330FD-3CCD-BF22-96E1-BD93F9CBBB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24300" y="3038475"/>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600075</xdr:colOff>
      <xdr:row>1</xdr:row>
      <xdr:rowOff>95250</xdr:rowOff>
    </xdr:from>
    <xdr:to>
      <xdr:col>13</xdr:col>
      <xdr:colOff>314325</xdr:colOff>
      <xdr:row>16</xdr:row>
      <xdr:rowOff>128587</xdr:rowOff>
    </xdr:to>
    <xdr:graphicFrame macro="">
      <xdr:nvGraphicFramePr>
        <xdr:cNvPr id="4" name="Chart 3">
          <a:extLst>
            <a:ext uri="{FF2B5EF4-FFF2-40B4-BE49-F238E27FC236}">
              <a16:creationId xmlns:a16="http://schemas.microsoft.com/office/drawing/2014/main" id="{4A136110-2679-C0EA-BB5D-0734E2DDA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514772</xdr:colOff>
          <xdr:row>4</xdr:row>
          <xdr:rowOff>157371</xdr:rowOff>
        </xdr:from>
        <xdr:to>
          <xdr:col>6</xdr:col>
          <xdr:colOff>13258</xdr:colOff>
          <xdr:row>6</xdr:row>
          <xdr:rowOff>14496</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id="{00000000-0008-0000-13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Year 2023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509807</xdr:colOff>
          <xdr:row>6</xdr:row>
          <xdr:rowOff>11598</xdr:rowOff>
        </xdr:from>
        <xdr:to>
          <xdr:col>6</xdr:col>
          <xdr:colOff>8293</xdr:colOff>
          <xdr:row>7</xdr:row>
          <xdr:rowOff>59223</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id="{3F00F308-8AFD-083A-DE13-63523881A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Year 2024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513111</xdr:colOff>
          <xdr:row>7</xdr:row>
          <xdr:rowOff>14912</xdr:rowOff>
        </xdr:from>
        <xdr:to>
          <xdr:col>6</xdr:col>
          <xdr:colOff>11597</xdr:colOff>
          <xdr:row>8</xdr:row>
          <xdr:rowOff>62537</xdr:rowOff>
        </xdr:to>
        <xdr:sp macro="" textlink="">
          <xdr:nvSpPr>
            <xdr:cNvPr id="24579" name="Check Box 3" hidden="1">
              <a:extLst>
                <a:ext uri="{63B3BB69-23CF-44E3-9099-C40C66FF867C}">
                  <a14:compatExt spid="_x0000_s24579"/>
                </a:ext>
                <a:ext uri="{FF2B5EF4-FFF2-40B4-BE49-F238E27FC236}">
                  <a16:creationId xmlns:a16="http://schemas.microsoft.com/office/drawing/2014/main" id="{55033414-6248-5B6B-5BE4-CF318DED98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Year 2025</a:t>
              </a:r>
            </a:p>
          </xdr:txBody>
        </xdr:sp>
        <xdr:clientData/>
      </xdr:twoCellAnchor>
    </mc:Choice>
    <mc:Fallback/>
  </mc:AlternateContent>
  <xdr:twoCellAnchor>
    <xdr:from>
      <xdr:col>7</xdr:col>
      <xdr:colOff>223631</xdr:colOff>
      <xdr:row>0</xdr:row>
      <xdr:rowOff>69574</xdr:rowOff>
    </xdr:from>
    <xdr:to>
      <xdr:col>14</xdr:col>
      <xdr:colOff>505240</xdr:colOff>
      <xdr:row>14</xdr:row>
      <xdr:rowOff>145774</xdr:rowOff>
    </xdr:to>
    <xdr:graphicFrame macro="">
      <xdr:nvGraphicFramePr>
        <xdr:cNvPr id="2" name="Chart 1">
          <a:extLst>
            <a:ext uri="{FF2B5EF4-FFF2-40B4-BE49-F238E27FC236}">
              <a16:creationId xmlns:a16="http://schemas.microsoft.com/office/drawing/2014/main" id="{25B0D6E0-8163-2765-5E58-BE35DD5F1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600075</xdr:colOff>
          <xdr:row>3</xdr:row>
          <xdr:rowOff>76200</xdr:rowOff>
        </xdr:from>
        <xdr:to>
          <xdr:col>6</xdr:col>
          <xdr:colOff>323850</xdr:colOff>
          <xdr:row>5</xdr:row>
          <xdr:rowOff>19050</xdr:rowOff>
        </xdr:to>
        <xdr:sp macro="" textlink="">
          <xdr:nvSpPr>
            <xdr:cNvPr id="25601" name="Option Button 1" hidden="1">
              <a:extLst>
                <a:ext uri="{63B3BB69-23CF-44E3-9099-C40C66FF867C}">
                  <a14:compatExt spid="_x0000_s25601"/>
                </a:ext>
                <a:ext uri="{FF2B5EF4-FFF2-40B4-BE49-F238E27FC236}">
                  <a16:creationId xmlns:a16="http://schemas.microsoft.com/office/drawing/2014/main" id="{00000000-0008-0000-14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Yr 2023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590550</xdr:colOff>
          <xdr:row>4</xdr:row>
          <xdr:rowOff>142875</xdr:rowOff>
        </xdr:from>
        <xdr:to>
          <xdr:col>6</xdr:col>
          <xdr:colOff>314325</xdr:colOff>
          <xdr:row>6</xdr:row>
          <xdr:rowOff>85725</xdr:rowOff>
        </xdr:to>
        <xdr:sp macro="" textlink="">
          <xdr:nvSpPr>
            <xdr:cNvPr id="25602" name="Option Button 2" hidden="1">
              <a:extLst>
                <a:ext uri="{63B3BB69-23CF-44E3-9099-C40C66FF867C}">
                  <a14:compatExt spid="_x0000_s25602"/>
                </a:ext>
                <a:ext uri="{FF2B5EF4-FFF2-40B4-BE49-F238E27FC236}">
                  <a16:creationId xmlns:a16="http://schemas.microsoft.com/office/drawing/2014/main" id="{E5A650B3-B5D7-9B83-5715-3F0FABDFA8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Yr 2024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590550</xdr:colOff>
          <xdr:row>6</xdr:row>
          <xdr:rowOff>19050</xdr:rowOff>
        </xdr:from>
        <xdr:to>
          <xdr:col>6</xdr:col>
          <xdr:colOff>314325</xdr:colOff>
          <xdr:row>7</xdr:row>
          <xdr:rowOff>152400</xdr:rowOff>
        </xdr:to>
        <xdr:sp macro="" textlink="">
          <xdr:nvSpPr>
            <xdr:cNvPr id="25603" name="Option Button 3" hidden="1">
              <a:extLst>
                <a:ext uri="{63B3BB69-23CF-44E3-9099-C40C66FF867C}">
                  <a14:compatExt spid="_x0000_s25603"/>
                </a:ext>
                <a:ext uri="{FF2B5EF4-FFF2-40B4-BE49-F238E27FC236}">
                  <a16:creationId xmlns:a16="http://schemas.microsoft.com/office/drawing/2014/main" id="{4ED996CB-B89E-7920-442F-C404BC037E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Yr 2025</a:t>
              </a:r>
            </a:p>
          </xdr:txBody>
        </xdr:sp>
        <xdr:clientData/>
      </xdr:twoCellAnchor>
    </mc:Choice>
    <mc:Fallback/>
  </mc:AlternateContent>
  <xdr:twoCellAnchor>
    <xdr:from>
      <xdr:col>11</xdr:col>
      <xdr:colOff>323850</xdr:colOff>
      <xdr:row>0</xdr:row>
      <xdr:rowOff>85725</xdr:rowOff>
    </xdr:from>
    <xdr:to>
      <xdr:col>20</xdr:col>
      <xdr:colOff>304800</xdr:colOff>
      <xdr:row>15</xdr:row>
      <xdr:rowOff>100012</xdr:rowOff>
    </xdr:to>
    <xdr:graphicFrame macro="">
      <xdr:nvGraphicFramePr>
        <xdr:cNvPr id="2" name="Chart 1">
          <a:extLst>
            <a:ext uri="{FF2B5EF4-FFF2-40B4-BE49-F238E27FC236}">
              <a16:creationId xmlns:a16="http://schemas.microsoft.com/office/drawing/2014/main" id="{A17EBCF1-4E4A-730D-4D6B-4F124452E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Babu Singam" refreshedDate="46080.540653472221" createdVersion="8" refreshedVersion="8" minRefreshableVersion="3" recordCount="100" xr:uid="{8CA5126A-2F02-4892-803F-3EBD1CB77B9F}">
  <cacheSource type="worksheet">
    <worksheetSource name="salestable"/>
  </cacheSource>
  <cacheFields count="8">
    <cacheField name="Agent" numFmtId="0">
      <sharedItems count="5">
        <s v="Koushik"/>
        <s v="Ramu"/>
        <s v="Jagadeesh"/>
        <s v="Sundeep"/>
        <s v="Eashwar"/>
      </sharedItems>
    </cacheField>
    <cacheField name="Region" numFmtId="0">
      <sharedItems count="4">
        <s v="South"/>
        <s v="North"/>
        <s v="West"/>
        <s v="East"/>
      </sharedItems>
    </cacheField>
    <cacheField name="Product" numFmtId="0">
      <sharedItems count="5">
        <s v="Projector"/>
        <s v="Printer"/>
        <s v="Webcam"/>
        <s v="Scanner"/>
        <s v="Laptop"/>
      </sharedItems>
    </cacheField>
    <cacheField name="Units" numFmtId="0">
      <sharedItems containsSemiMixedTypes="0" containsString="0" containsNumber="1" containsInteger="1" minValue="1" maxValue="6"/>
    </cacheField>
    <cacheField name="Amount" numFmtId="0">
      <sharedItems containsSemiMixedTypes="0" containsString="0" containsNumber="1" containsInteger="1" minValue="50400" maxValue="99890" count="99">
        <n v="99590"/>
        <n v="93600"/>
        <n v="92480"/>
        <n v="84870"/>
        <n v="59650"/>
        <n v="57300"/>
        <n v="83910"/>
        <n v="81810"/>
        <n v="70650"/>
        <n v="53750"/>
        <n v="84320"/>
        <n v="79860"/>
        <n v="88160"/>
        <n v="71020"/>
        <n v="54200"/>
        <n v="58660"/>
        <n v="67010"/>
        <n v="95090"/>
        <n v="52280"/>
        <n v="97670"/>
        <n v="74990"/>
        <n v="70050"/>
        <n v="62820"/>
        <n v="80400"/>
        <n v="88020"/>
        <n v="63480"/>
        <n v="52400"/>
        <n v="84980"/>
        <n v="84370"/>
        <n v="60220"/>
        <n v="80660"/>
        <n v="78220"/>
        <n v="62210"/>
        <n v="89380"/>
        <n v="67330"/>
        <n v="80880"/>
        <n v="62610"/>
        <n v="95860"/>
        <n v="91690"/>
        <n v="76080"/>
        <n v="83990"/>
        <n v="82550"/>
        <n v="90660"/>
        <n v="72580"/>
        <n v="88250"/>
        <n v="85220"/>
        <n v="65870"/>
        <n v="96040"/>
        <n v="77870"/>
        <n v="74760"/>
        <n v="54590"/>
        <n v="94890"/>
        <n v="64110"/>
        <n v="81540"/>
        <n v="90290"/>
        <n v="89670"/>
        <n v="53430"/>
        <n v="83070"/>
        <n v="86990"/>
        <n v="66530"/>
        <n v="92810"/>
        <n v="98920"/>
        <n v="95080"/>
        <n v="53630"/>
        <n v="66750"/>
        <n v="68730"/>
        <n v="81740"/>
        <n v="68500"/>
        <n v="54310"/>
        <n v="77680"/>
        <n v="83450"/>
        <n v="97620"/>
        <n v="59270"/>
        <n v="53860"/>
        <n v="85350"/>
        <n v="75440"/>
        <n v="99890"/>
        <n v="75320"/>
        <n v="85690"/>
        <n v="94010"/>
        <n v="98610"/>
        <n v="79210"/>
        <n v="50400"/>
        <n v="94290"/>
        <n v="85000"/>
        <n v="71470"/>
        <n v="70150"/>
        <n v="71280"/>
        <n v="52780"/>
        <n v="65340"/>
        <n v="88530"/>
        <n v="63040"/>
        <n v="97820"/>
        <n v="59980"/>
        <n v="67720"/>
        <n v="87320"/>
        <n v="52740"/>
        <n v="65170"/>
        <n v="72340"/>
      </sharedItems>
      <fieldGroup base="4">
        <rangePr autoStart="0" autoEnd="0" startNum="50000" endNum="100000" groupInterval="10000"/>
        <groupItems count="7">
          <s v="&lt;50000"/>
          <s v="50000-59999"/>
          <s v="60000-69999"/>
          <s v="70000-79999"/>
          <s v="80000-89999"/>
          <s v="90000-100000"/>
          <s v="&gt;100000"/>
        </groupItems>
      </fieldGroup>
    </cacheField>
    <cacheField name="Date" numFmtId="14">
      <sharedItems containsSemiMixedTypes="0" containsNonDate="0" containsDate="1" containsString="0" minDate="2025-01-01T00:00:00" maxDate="2025-03-30T00:00:00"/>
    </cacheField>
    <cacheField name="Percent10" numFmtId="0" formula="Amount* 0.1" databaseField="0"/>
    <cacheField name="Average Per Unit" numFmtId="0" formula="Amount/Units" databaseField="0"/>
  </cacheFields>
  <extLst>
    <ext xmlns:x14="http://schemas.microsoft.com/office/spreadsheetml/2009/9/main" uri="{725AE2AE-9491-48be-B2B4-4EB974FC3084}">
      <x14:pivotCacheDefinition pivotCacheId="2132870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3"/>
    <x v="0"/>
    <d v="2025-01-12T00:00:00"/>
  </r>
  <r>
    <x v="1"/>
    <x v="1"/>
    <x v="1"/>
    <n v="6"/>
    <x v="1"/>
    <d v="2025-02-07T00:00:00"/>
  </r>
  <r>
    <x v="2"/>
    <x v="2"/>
    <x v="2"/>
    <n v="1"/>
    <x v="2"/>
    <d v="2025-01-21T00:00:00"/>
  </r>
  <r>
    <x v="2"/>
    <x v="2"/>
    <x v="1"/>
    <n v="6"/>
    <x v="3"/>
    <d v="2025-03-25T00:00:00"/>
  </r>
  <r>
    <x v="3"/>
    <x v="2"/>
    <x v="2"/>
    <n v="3"/>
    <x v="4"/>
    <d v="2025-02-20T00:00:00"/>
  </r>
  <r>
    <x v="4"/>
    <x v="0"/>
    <x v="2"/>
    <n v="6"/>
    <x v="5"/>
    <d v="2025-01-08T00:00:00"/>
  </r>
  <r>
    <x v="4"/>
    <x v="3"/>
    <x v="3"/>
    <n v="2"/>
    <x v="6"/>
    <d v="2025-03-25T00:00:00"/>
  </r>
  <r>
    <x v="3"/>
    <x v="0"/>
    <x v="4"/>
    <n v="5"/>
    <x v="7"/>
    <d v="2025-01-28T00:00:00"/>
  </r>
  <r>
    <x v="1"/>
    <x v="0"/>
    <x v="4"/>
    <n v="1"/>
    <x v="8"/>
    <d v="2025-01-02T00:00:00"/>
  </r>
  <r>
    <x v="4"/>
    <x v="0"/>
    <x v="0"/>
    <n v="4"/>
    <x v="9"/>
    <d v="2025-02-20T00:00:00"/>
  </r>
  <r>
    <x v="1"/>
    <x v="3"/>
    <x v="1"/>
    <n v="4"/>
    <x v="10"/>
    <d v="2025-02-06T00:00:00"/>
  </r>
  <r>
    <x v="4"/>
    <x v="3"/>
    <x v="1"/>
    <n v="1"/>
    <x v="11"/>
    <d v="2025-02-09T00:00:00"/>
  </r>
  <r>
    <x v="3"/>
    <x v="1"/>
    <x v="2"/>
    <n v="3"/>
    <x v="12"/>
    <d v="2025-01-15T00:00:00"/>
  </r>
  <r>
    <x v="2"/>
    <x v="2"/>
    <x v="3"/>
    <n v="3"/>
    <x v="13"/>
    <d v="2025-02-21T00:00:00"/>
  </r>
  <r>
    <x v="4"/>
    <x v="2"/>
    <x v="4"/>
    <n v="1"/>
    <x v="14"/>
    <d v="2025-01-30T00:00:00"/>
  </r>
  <r>
    <x v="0"/>
    <x v="2"/>
    <x v="2"/>
    <n v="5"/>
    <x v="15"/>
    <d v="2025-01-15T00:00:00"/>
  </r>
  <r>
    <x v="2"/>
    <x v="0"/>
    <x v="4"/>
    <n v="1"/>
    <x v="16"/>
    <d v="2025-02-20T00:00:00"/>
  </r>
  <r>
    <x v="2"/>
    <x v="0"/>
    <x v="2"/>
    <n v="6"/>
    <x v="17"/>
    <d v="2025-02-10T00:00:00"/>
  </r>
  <r>
    <x v="0"/>
    <x v="3"/>
    <x v="0"/>
    <n v="1"/>
    <x v="18"/>
    <d v="2025-01-04T00:00:00"/>
  </r>
  <r>
    <x v="3"/>
    <x v="0"/>
    <x v="2"/>
    <n v="4"/>
    <x v="19"/>
    <d v="2025-02-28T00:00:00"/>
  </r>
  <r>
    <x v="4"/>
    <x v="1"/>
    <x v="4"/>
    <n v="6"/>
    <x v="20"/>
    <d v="2025-02-09T00:00:00"/>
  </r>
  <r>
    <x v="2"/>
    <x v="1"/>
    <x v="1"/>
    <n v="5"/>
    <x v="21"/>
    <d v="2025-01-15T00:00:00"/>
  </r>
  <r>
    <x v="4"/>
    <x v="3"/>
    <x v="2"/>
    <n v="6"/>
    <x v="22"/>
    <d v="2025-02-20T00:00:00"/>
  </r>
  <r>
    <x v="2"/>
    <x v="2"/>
    <x v="4"/>
    <n v="2"/>
    <x v="23"/>
    <d v="2025-01-09T00:00:00"/>
  </r>
  <r>
    <x v="2"/>
    <x v="3"/>
    <x v="0"/>
    <n v="6"/>
    <x v="24"/>
    <d v="2025-03-18T00:00:00"/>
  </r>
  <r>
    <x v="4"/>
    <x v="1"/>
    <x v="2"/>
    <n v="3"/>
    <x v="25"/>
    <d v="2025-01-29T00:00:00"/>
  </r>
  <r>
    <x v="0"/>
    <x v="2"/>
    <x v="1"/>
    <n v="6"/>
    <x v="26"/>
    <d v="2025-02-17T00:00:00"/>
  </r>
  <r>
    <x v="1"/>
    <x v="3"/>
    <x v="4"/>
    <n v="3"/>
    <x v="27"/>
    <d v="2025-02-07T00:00:00"/>
  </r>
  <r>
    <x v="3"/>
    <x v="3"/>
    <x v="1"/>
    <n v="6"/>
    <x v="28"/>
    <d v="2025-03-15T00:00:00"/>
  </r>
  <r>
    <x v="4"/>
    <x v="2"/>
    <x v="1"/>
    <n v="4"/>
    <x v="29"/>
    <d v="2025-03-03T00:00:00"/>
  </r>
  <r>
    <x v="4"/>
    <x v="3"/>
    <x v="0"/>
    <n v="2"/>
    <x v="30"/>
    <d v="2025-02-13T00:00:00"/>
  </r>
  <r>
    <x v="2"/>
    <x v="3"/>
    <x v="0"/>
    <n v="1"/>
    <x v="31"/>
    <d v="2025-02-25T00:00:00"/>
  </r>
  <r>
    <x v="4"/>
    <x v="1"/>
    <x v="4"/>
    <n v="3"/>
    <x v="32"/>
    <d v="2025-01-06T00:00:00"/>
  </r>
  <r>
    <x v="0"/>
    <x v="1"/>
    <x v="1"/>
    <n v="1"/>
    <x v="33"/>
    <d v="2025-02-08T00:00:00"/>
  </r>
  <r>
    <x v="2"/>
    <x v="0"/>
    <x v="4"/>
    <n v="5"/>
    <x v="34"/>
    <d v="2025-02-18T00:00:00"/>
  </r>
  <r>
    <x v="0"/>
    <x v="0"/>
    <x v="0"/>
    <n v="5"/>
    <x v="35"/>
    <d v="2025-03-20T00:00:00"/>
  </r>
  <r>
    <x v="2"/>
    <x v="3"/>
    <x v="0"/>
    <n v="1"/>
    <x v="36"/>
    <d v="2025-02-18T00:00:00"/>
  </r>
  <r>
    <x v="3"/>
    <x v="1"/>
    <x v="0"/>
    <n v="2"/>
    <x v="37"/>
    <d v="2025-01-31T00:00:00"/>
  </r>
  <r>
    <x v="3"/>
    <x v="1"/>
    <x v="4"/>
    <n v="2"/>
    <x v="38"/>
    <d v="2025-01-19T00:00:00"/>
  </r>
  <r>
    <x v="3"/>
    <x v="2"/>
    <x v="4"/>
    <n v="2"/>
    <x v="39"/>
    <d v="2025-01-05T00:00:00"/>
  </r>
  <r>
    <x v="2"/>
    <x v="3"/>
    <x v="3"/>
    <n v="3"/>
    <x v="40"/>
    <d v="2025-01-12T00:00:00"/>
  </r>
  <r>
    <x v="2"/>
    <x v="2"/>
    <x v="4"/>
    <n v="4"/>
    <x v="41"/>
    <d v="2025-03-11T00:00:00"/>
  </r>
  <r>
    <x v="3"/>
    <x v="1"/>
    <x v="0"/>
    <n v="6"/>
    <x v="42"/>
    <d v="2025-01-09T00:00:00"/>
  </r>
  <r>
    <x v="4"/>
    <x v="2"/>
    <x v="0"/>
    <n v="3"/>
    <x v="43"/>
    <d v="2025-02-18T00:00:00"/>
  </r>
  <r>
    <x v="0"/>
    <x v="1"/>
    <x v="4"/>
    <n v="4"/>
    <x v="44"/>
    <d v="2025-01-23T00:00:00"/>
  </r>
  <r>
    <x v="4"/>
    <x v="2"/>
    <x v="2"/>
    <n v="5"/>
    <x v="45"/>
    <d v="2025-03-14T00:00:00"/>
  </r>
  <r>
    <x v="2"/>
    <x v="2"/>
    <x v="0"/>
    <n v="5"/>
    <x v="46"/>
    <d v="2025-01-14T00:00:00"/>
  </r>
  <r>
    <x v="0"/>
    <x v="3"/>
    <x v="0"/>
    <n v="1"/>
    <x v="47"/>
    <d v="2025-03-20T00:00:00"/>
  </r>
  <r>
    <x v="0"/>
    <x v="2"/>
    <x v="3"/>
    <n v="1"/>
    <x v="48"/>
    <d v="2025-03-01T00:00:00"/>
  </r>
  <r>
    <x v="4"/>
    <x v="0"/>
    <x v="2"/>
    <n v="6"/>
    <x v="49"/>
    <d v="2025-03-01T00:00:00"/>
  </r>
  <r>
    <x v="1"/>
    <x v="1"/>
    <x v="3"/>
    <n v="4"/>
    <x v="50"/>
    <d v="2025-01-07T00:00:00"/>
  </r>
  <r>
    <x v="2"/>
    <x v="3"/>
    <x v="3"/>
    <n v="4"/>
    <x v="51"/>
    <d v="2025-01-02T00:00:00"/>
  </r>
  <r>
    <x v="0"/>
    <x v="0"/>
    <x v="0"/>
    <n v="2"/>
    <x v="52"/>
    <d v="2025-03-27T00:00:00"/>
  </r>
  <r>
    <x v="2"/>
    <x v="3"/>
    <x v="2"/>
    <n v="3"/>
    <x v="53"/>
    <d v="2025-01-18T00:00:00"/>
  </r>
  <r>
    <x v="3"/>
    <x v="1"/>
    <x v="1"/>
    <n v="4"/>
    <x v="54"/>
    <d v="2025-02-02T00:00:00"/>
  </r>
  <r>
    <x v="2"/>
    <x v="2"/>
    <x v="2"/>
    <n v="1"/>
    <x v="55"/>
    <d v="2025-03-29T00:00:00"/>
  </r>
  <r>
    <x v="3"/>
    <x v="0"/>
    <x v="4"/>
    <n v="3"/>
    <x v="56"/>
    <d v="2025-03-10T00:00:00"/>
  </r>
  <r>
    <x v="4"/>
    <x v="0"/>
    <x v="3"/>
    <n v="3"/>
    <x v="57"/>
    <d v="2025-03-08T00:00:00"/>
  </r>
  <r>
    <x v="3"/>
    <x v="0"/>
    <x v="0"/>
    <n v="4"/>
    <x v="58"/>
    <d v="2025-01-22T00:00:00"/>
  </r>
  <r>
    <x v="1"/>
    <x v="3"/>
    <x v="2"/>
    <n v="3"/>
    <x v="59"/>
    <d v="2025-02-02T00:00:00"/>
  </r>
  <r>
    <x v="1"/>
    <x v="1"/>
    <x v="3"/>
    <n v="3"/>
    <x v="60"/>
    <d v="2025-02-07T00:00:00"/>
  </r>
  <r>
    <x v="0"/>
    <x v="1"/>
    <x v="2"/>
    <n v="3"/>
    <x v="61"/>
    <d v="2025-01-01T00:00:00"/>
  </r>
  <r>
    <x v="0"/>
    <x v="3"/>
    <x v="2"/>
    <n v="3"/>
    <x v="62"/>
    <d v="2025-02-08T00:00:00"/>
  </r>
  <r>
    <x v="3"/>
    <x v="3"/>
    <x v="2"/>
    <n v="3"/>
    <x v="63"/>
    <d v="2025-02-12T00:00:00"/>
  </r>
  <r>
    <x v="3"/>
    <x v="0"/>
    <x v="2"/>
    <n v="1"/>
    <x v="64"/>
    <d v="2025-01-23T00:00:00"/>
  </r>
  <r>
    <x v="4"/>
    <x v="2"/>
    <x v="2"/>
    <n v="5"/>
    <x v="65"/>
    <d v="2025-03-10T00:00:00"/>
  </r>
  <r>
    <x v="2"/>
    <x v="0"/>
    <x v="0"/>
    <n v="2"/>
    <x v="66"/>
    <d v="2025-02-28T00:00:00"/>
  </r>
  <r>
    <x v="1"/>
    <x v="3"/>
    <x v="2"/>
    <n v="3"/>
    <x v="67"/>
    <d v="2025-01-04T00:00:00"/>
  </r>
  <r>
    <x v="1"/>
    <x v="0"/>
    <x v="3"/>
    <n v="2"/>
    <x v="68"/>
    <d v="2025-01-19T00:00:00"/>
  </r>
  <r>
    <x v="2"/>
    <x v="2"/>
    <x v="3"/>
    <n v="4"/>
    <x v="69"/>
    <d v="2025-03-05T00:00:00"/>
  </r>
  <r>
    <x v="4"/>
    <x v="2"/>
    <x v="0"/>
    <n v="5"/>
    <x v="70"/>
    <d v="2025-02-24T00:00:00"/>
  </r>
  <r>
    <x v="2"/>
    <x v="2"/>
    <x v="0"/>
    <n v="2"/>
    <x v="71"/>
    <d v="2025-03-19T00:00:00"/>
  </r>
  <r>
    <x v="2"/>
    <x v="3"/>
    <x v="2"/>
    <n v="4"/>
    <x v="72"/>
    <d v="2025-02-13T00:00:00"/>
  </r>
  <r>
    <x v="1"/>
    <x v="2"/>
    <x v="2"/>
    <n v="2"/>
    <x v="73"/>
    <d v="2025-03-26T00:00:00"/>
  </r>
  <r>
    <x v="4"/>
    <x v="0"/>
    <x v="0"/>
    <n v="6"/>
    <x v="74"/>
    <d v="2025-03-04T00:00:00"/>
  </r>
  <r>
    <x v="3"/>
    <x v="0"/>
    <x v="1"/>
    <n v="4"/>
    <x v="75"/>
    <d v="2025-03-11T00:00:00"/>
  </r>
  <r>
    <x v="4"/>
    <x v="0"/>
    <x v="4"/>
    <n v="5"/>
    <x v="76"/>
    <d v="2025-03-26T00:00:00"/>
  </r>
  <r>
    <x v="0"/>
    <x v="0"/>
    <x v="0"/>
    <n v="6"/>
    <x v="77"/>
    <d v="2025-03-16T00:00:00"/>
  </r>
  <r>
    <x v="3"/>
    <x v="3"/>
    <x v="0"/>
    <n v="6"/>
    <x v="78"/>
    <d v="2025-01-04T00:00:00"/>
  </r>
  <r>
    <x v="0"/>
    <x v="1"/>
    <x v="0"/>
    <n v="5"/>
    <x v="79"/>
    <d v="2025-03-02T00:00:00"/>
  </r>
  <r>
    <x v="0"/>
    <x v="1"/>
    <x v="1"/>
    <n v="6"/>
    <x v="80"/>
    <d v="2025-03-10T00:00:00"/>
  </r>
  <r>
    <x v="0"/>
    <x v="0"/>
    <x v="3"/>
    <n v="5"/>
    <x v="81"/>
    <d v="2025-01-09T00:00:00"/>
  </r>
  <r>
    <x v="1"/>
    <x v="2"/>
    <x v="4"/>
    <n v="3"/>
    <x v="82"/>
    <d v="2025-03-23T00:00:00"/>
  </r>
  <r>
    <x v="1"/>
    <x v="3"/>
    <x v="3"/>
    <n v="4"/>
    <x v="83"/>
    <d v="2025-02-18T00:00:00"/>
  </r>
  <r>
    <x v="1"/>
    <x v="0"/>
    <x v="1"/>
    <n v="5"/>
    <x v="84"/>
    <d v="2025-02-25T00:00:00"/>
  </r>
  <r>
    <x v="2"/>
    <x v="1"/>
    <x v="2"/>
    <n v="1"/>
    <x v="85"/>
    <d v="2025-03-21T00:00:00"/>
  </r>
  <r>
    <x v="3"/>
    <x v="2"/>
    <x v="4"/>
    <n v="4"/>
    <x v="86"/>
    <d v="2025-01-04T00:00:00"/>
  </r>
  <r>
    <x v="4"/>
    <x v="1"/>
    <x v="3"/>
    <n v="4"/>
    <x v="87"/>
    <d v="2025-03-03T00:00:00"/>
  </r>
  <r>
    <x v="0"/>
    <x v="1"/>
    <x v="4"/>
    <n v="5"/>
    <x v="88"/>
    <d v="2025-01-03T00:00:00"/>
  </r>
  <r>
    <x v="1"/>
    <x v="3"/>
    <x v="1"/>
    <n v="4"/>
    <x v="89"/>
    <d v="2025-03-29T00:00:00"/>
  </r>
  <r>
    <x v="2"/>
    <x v="1"/>
    <x v="2"/>
    <n v="1"/>
    <x v="1"/>
    <d v="2025-02-15T00:00:00"/>
  </r>
  <r>
    <x v="3"/>
    <x v="2"/>
    <x v="0"/>
    <n v="4"/>
    <x v="90"/>
    <d v="2025-02-01T00:00:00"/>
  </r>
  <r>
    <x v="4"/>
    <x v="2"/>
    <x v="3"/>
    <n v="4"/>
    <x v="91"/>
    <d v="2025-01-25T00:00:00"/>
  </r>
  <r>
    <x v="1"/>
    <x v="2"/>
    <x v="0"/>
    <n v="2"/>
    <x v="92"/>
    <d v="2025-01-28T00:00:00"/>
  </r>
  <r>
    <x v="2"/>
    <x v="2"/>
    <x v="2"/>
    <n v="3"/>
    <x v="93"/>
    <d v="2025-02-13T00:00:00"/>
  </r>
  <r>
    <x v="3"/>
    <x v="3"/>
    <x v="2"/>
    <n v="2"/>
    <x v="94"/>
    <d v="2025-02-27T00:00:00"/>
  </r>
  <r>
    <x v="0"/>
    <x v="1"/>
    <x v="4"/>
    <n v="5"/>
    <x v="95"/>
    <d v="2025-03-14T00:00:00"/>
  </r>
  <r>
    <x v="4"/>
    <x v="1"/>
    <x v="2"/>
    <n v="5"/>
    <x v="96"/>
    <d v="2025-02-12T00:00:00"/>
  </r>
  <r>
    <x v="2"/>
    <x v="0"/>
    <x v="3"/>
    <n v="5"/>
    <x v="97"/>
    <d v="2025-01-30T00:00:00"/>
  </r>
  <r>
    <x v="4"/>
    <x v="2"/>
    <x v="4"/>
    <n v="4"/>
    <x v="98"/>
    <d v="2025-03-1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0ADCB-6308-46D3-9B84-F24045EEE0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5" firstHeaderRow="1" firstDataRow="2" firstDataCol="1"/>
  <pivotFields count="8">
    <pivotField axis="axisRow" showAll="0">
      <items count="6">
        <item h="1" x="4"/>
        <item x="2"/>
        <item h="1" x="0"/>
        <item h="1" x="1"/>
        <item h="1" x="3"/>
        <item t="default"/>
      </items>
    </pivotField>
    <pivotField axis="axisCol" showAll="0">
      <items count="5">
        <item x="3"/>
        <item x="1"/>
        <item x="0"/>
        <item x="2"/>
        <item t="default"/>
      </items>
    </pivotField>
    <pivotField axis="axisRow" showAll="0">
      <items count="6">
        <item x="4"/>
        <item x="1"/>
        <item x="0"/>
        <item x="3"/>
        <item x="2"/>
        <item t="default"/>
      </items>
    </pivotField>
    <pivotField showAll="0"/>
    <pivotField dataField="1" showAll="0">
      <items count="8">
        <item x="0"/>
        <item x="1"/>
        <item x="2"/>
        <item x="3"/>
        <item x="4"/>
        <item x="5"/>
        <item x="6"/>
        <item t="default"/>
      </items>
    </pivotField>
    <pivotField showAll="0"/>
    <pivotField dragToRow="0" dragToCol="0" dragToPage="0" showAll="0" defaultSubtotal="0"/>
    <pivotField dragToRow="0" dragToCol="0" dragToPage="0" showAll="0" defaultSubtotal="0"/>
  </pivotFields>
  <rowFields count="2">
    <field x="2"/>
    <field x="0"/>
  </rowFields>
  <rowItems count="11">
    <i>
      <x/>
    </i>
    <i r="1">
      <x v="1"/>
    </i>
    <i>
      <x v="1"/>
    </i>
    <i r="1">
      <x v="1"/>
    </i>
    <i>
      <x v="2"/>
    </i>
    <i r="1">
      <x v="1"/>
    </i>
    <i>
      <x v="3"/>
    </i>
    <i r="1">
      <x v="1"/>
    </i>
    <i>
      <x v="4"/>
    </i>
    <i r="1">
      <x v="1"/>
    </i>
    <i t="grand">
      <x/>
    </i>
  </rowItems>
  <colFields count="1">
    <field x="1"/>
  </colFields>
  <colItems count="5">
    <i>
      <x/>
    </i>
    <i>
      <x v="1"/>
    </i>
    <i>
      <x v="2"/>
    </i>
    <i>
      <x v="3"/>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9B94B5-82CA-4BF6-A784-2E5ED28475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9" firstHeaderRow="1" firstDataRow="1" firstDataCol="1"/>
  <pivotFields count="8">
    <pivotField showAll="0"/>
    <pivotField showAll="0"/>
    <pivotField showAll="0">
      <items count="6">
        <item x="4"/>
        <item x="1"/>
        <item x="0"/>
        <item x="3"/>
        <item x="2"/>
        <item t="default"/>
      </items>
    </pivotField>
    <pivotField showAll="0"/>
    <pivotField axis="axisRow" dataField="1" showAll="0">
      <items count="8">
        <item x="0"/>
        <item x="1"/>
        <item x="2"/>
        <item x="3"/>
        <item x="4"/>
        <item x="5"/>
        <item x="6"/>
        <item t="default"/>
      </items>
    </pivotField>
    <pivotField numFmtId="14" showAll="0"/>
    <pivotField dragToRow="0" dragToCol="0" dragToPage="0" showAll="0" defaultSubtotal="0"/>
    <pivotField dragToRow="0" dragToCol="0" dragToPage="0" showAll="0" defaultSubtotal="0"/>
  </pivotFields>
  <rowFields count="1">
    <field x="4"/>
  </rowFields>
  <rowItems count="6">
    <i>
      <x v="1"/>
    </i>
    <i>
      <x v="2"/>
    </i>
    <i>
      <x v="3"/>
    </i>
    <i>
      <x v="4"/>
    </i>
    <i>
      <x v="5"/>
    </i>
    <i t="grand">
      <x/>
    </i>
  </rowItems>
  <colItems count="1">
    <i/>
  </colItems>
  <dataFields count="1">
    <dataField name="Sum of Amount" fld="4"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0DBE6E-D9A6-4638-A6C8-A3E4AE041629}" sourceName="Product">
  <pivotTables>
    <pivotTable tabId="17" name="PivotTable2"/>
    <pivotTable tabId="17" name="PivotTable4"/>
  </pivotTables>
  <data>
    <tabular pivotCacheId="2132870233">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CB086AE-05BA-41B3-9CFF-FA7B978A87D2}"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1FF7E5-F839-4119-B30D-7FA2BDFE5262}" name="salestable" displayName="salestable" ref="A1:F101" totalsRowShown="0" headerRowDxfId="11">
  <autoFilter ref="A1:F101" xr:uid="{A21FF7E5-F839-4119-B30D-7FA2BDFE5262}"/>
  <tableColumns count="6">
    <tableColumn id="1" xr3:uid="{9073F0A1-6BB0-4147-97B6-F6348DF8FB8F}" name="Agent"/>
    <tableColumn id="2" xr3:uid="{A9772B90-FD5F-4C0C-B000-64FF6BA89962}" name="Region"/>
    <tableColumn id="3" xr3:uid="{6B0899B7-2975-4DF0-B9A1-2FD33176FC05}" name="Product"/>
    <tableColumn id="4" xr3:uid="{CD647E60-D3E9-4F90-A9A8-2354DD83517D}" name="Units"/>
    <tableColumn id="5" xr3:uid="{D28E9F95-569F-4868-83A5-E87F57344F34}" name="Amount"/>
    <tableColumn id="6" xr3:uid="{732D529E-32A8-4069-BE09-32C4215E33F4}" name="Date" dataDxfId="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210C5-02BB-46B0-AA8F-3BC393B9BD2F}" name="Sales2" displayName="Sales2" ref="A1:F102" totalsRowCount="1">
  <autoFilter ref="A1:F101" xr:uid="{75B210C5-02BB-46B0-AA8F-3BC393B9BD2F}"/>
  <tableColumns count="6">
    <tableColumn id="1" xr3:uid="{D700F49C-B171-4AED-8241-979027B4F236}" name="Agent" totalsRowLabel="Total"/>
    <tableColumn id="2" xr3:uid="{10AA846E-0D1B-4914-9C3B-D06013C946ED}" name="Region"/>
    <tableColumn id="3" xr3:uid="{5271E927-2A57-4AE7-9D44-CF2C16468BAC}" name="Product"/>
    <tableColumn id="4" xr3:uid="{094BCC43-4863-4ACA-88B9-5EF3F3714065}" name="Units"/>
    <tableColumn id="5" xr3:uid="{BF789AEF-C97E-489D-810A-73680127D901}" name="Amount"/>
    <tableColumn id="6" xr3:uid="{54088DD1-2CD3-46CA-B815-5963E4621793}" name="Date" totalsRowFunction="count" dataDxfId="9"/>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21.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6.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A3C9-0BF1-4988-8FB6-499AB77D4C7F}">
  <dimension ref="A1:O13"/>
  <sheetViews>
    <sheetView zoomScale="120" zoomScaleNormal="120" workbookViewId="0">
      <selection sqref="A1:G13"/>
    </sheetView>
  </sheetViews>
  <sheetFormatPr defaultRowHeight="15" x14ac:dyDescent="0.25"/>
  <cols>
    <col min="3" max="3" width="10.7109375" bestFit="1" customWidth="1"/>
    <col min="5" max="5" width="9.85546875" bestFit="1" customWidth="1"/>
    <col min="13" max="13" width="10.7109375" bestFit="1" customWidth="1"/>
  </cols>
  <sheetData>
    <row r="1" spans="1:15" x14ac:dyDescent="0.25">
      <c r="A1" s="1" t="s">
        <v>0</v>
      </c>
      <c r="B1" s="1" t="s">
        <v>14</v>
      </c>
      <c r="C1" s="1" t="s">
        <v>18</v>
      </c>
      <c r="D1" s="1" t="s">
        <v>24</v>
      </c>
      <c r="E1" s="1" t="s">
        <v>25</v>
      </c>
      <c r="F1" s="1" t="s">
        <v>40</v>
      </c>
      <c r="G1" s="1" t="s">
        <v>34</v>
      </c>
      <c r="L1" s="1" t="s">
        <v>13</v>
      </c>
      <c r="M1" s="1" t="s">
        <v>18</v>
      </c>
      <c r="N1" s="1" t="s">
        <v>22</v>
      </c>
      <c r="O1" s="1" t="s">
        <v>23</v>
      </c>
    </row>
    <row r="2" spans="1:15" x14ac:dyDescent="0.25">
      <c r="A2" t="s">
        <v>1</v>
      </c>
      <c r="B2" t="s">
        <v>16</v>
      </c>
      <c r="C2" t="str">
        <f>VLOOKUP(B2,$L$1:$M$4,2,0)</f>
        <v>Maths</v>
      </c>
      <c r="D2">
        <f>VLOOKUP(B2,$L$1:$O$4,3,0)</f>
        <v>40</v>
      </c>
      <c r="E2">
        <f>VLOOKUP(C2,$M$1:$O$4,3,0)</f>
        <v>75</v>
      </c>
      <c r="F2">
        <v>28</v>
      </c>
      <c r="G2" t="str">
        <f>VLOOKUP(F2,$M$7:$N$13,2,1)</f>
        <v>Fail</v>
      </c>
      <c r="L2" t="s">
        <v>16</v>
      </c>
      <c r="M2" t="s">
        <v>19</v>
      </c>
      <c r="N2">
        <v>40</v>
      </c>
      <c r="O2">
        <v>75</v>
      </c>
    </row>
    <row r="3" spans="1:15" x14ac:dyDescent="0.25">
      <c r="A3" t="s">
        <v>2</v>
      </c>
      <c r="B3" t="s">
        <v>17</v>
      </c>
      <c r="C3" t="str">
        <f t="shared" ref="C3:C13" si="0">VLOOKUP(B3,$L$1:$M$4,2,0)</f>
        <v>History</v>
      </c>
      <c r="D3">
        <f t="shared" ref="D3:D13" si="1">VLOOKUP(B3,$L$1:$O$4,3,0)</f>
        <v>70</v>
      </c>
      <c r="E3">
        <f t="shared" ref="E3:E13" si="2">VLOOKUP(C3,$M$1:$O$4,3,0)</f>
        <v>100</v>
      </c>
      <c r="F3">
        <v>40</v>
      </c>
      <c r="G3" t="str">
        <f t="shared" ref="G3:G13" si="3">VLOOKUP(F3,$M$7:$N$13,2,1)</f>
        <v>Fail</v>
      </c>
      <c r="L3" t="s">
        <v>17</v>
      </c>
      <c r="M3" t="s">
        <v>20</v>
      </c>
      <c r="N3">
        <v>70</v>
      </c>
      <c r="O3">
        <v>100</v>
      </c>
    </row>
    <row r="4" spans="1:15" x14ac:dyDescent="0.25">
      <c r="A4" t="s">
        <v>3</v>
      </c>
      <c r="B4" t="s">
        <v>15</v>
      </c>
      <c r="C4" t="str">
        <f t="shared" si="0"/>
        <v>Economics</v>
      </c>
      <c r="D4">
        <f t="shared" si="1"/>
        <v>55</v>
      </c>
      <c r="E4">
        <f t="shared" si="2"/>
        <v>60</v>
      </c>
      <c r="F4">
        <v>77</v>
      </c>
      <c r="G4" t="str">
        <f t="shared" si="3"/>
        <v>C</v>
      </c>
      <c r="L4" t="s">
        <v>15</v>
      </c>
      <c r="M4" t="s">
        <v>21</v>
      </c>
      <c r="N4">
        <v>55</v>
      </c>
      <c r="O4">
        <v>60</v>
      </c>
    </row>
    <row r="5" spans="1:15" x14ac:dyDescent="0.25">
      <c r="A5" t="s">
        <v>4</v>
      </c>
      <c r="B5" t="s">
        <v>15</v>
      </c>
      <c r="C5" t="str">
        <f t="shared" si="0"/>
        <v>Economics</v>
      </c>
      <c r="D5">
        <f t="shared" si="1"/>
        <v>55</v>
      </c>
      <c r="E5">
        <f t="shared" si="2"/>
        <v>60</v>
      </c>
      <c r="F5">
        <v>39</v>
      </c>
      <c r="G5" t="str">
        <f t="shared" si="3"/>
        <v>Fail</v>
      </c>
    </row>
    <row r="6" spans="1:15" x14ac:dyDescent="0.25">
      <c r="A6" t="s">
        <v>5</v>
      </c>
      <c r="B6" t="s">
        <v>17</v>
      </c>
      <c r="C6" t="str">
        <f t="shared" si="0"/>
        <v>History</v>
      </c>
      <c r="D6">
        <f t="shared" si="1"/>
        <v>70</v>
      </c>
      <c r="E6">
        <f t="shared" si="2"/>
        <v>100</v>
      </c>
      <c r="F6">
        <v>87</v>
      </c>
      <c r="G6" t="str">
        <f t="shared" si="3"/>
        <v>B</v>
      </c>
    </row>
    <row r="7" spans="1:15" x14ac:dyDescent="0.25">
      <c r="A7" t="s">
        <v>6</v>
      </c>
      <c r="B7" t="s">
        <v>17</v>
      </c>
      <c r="C7" t="str">
        <f t="shared" si="0"/>
        <v>History</v>
      </c>
      <c r="D7">
        <f t="shared" si="1"/>
        <v>70</v>
      </c>
      <c r="E7">
        <f t="shared" si="2"/>
        <v>100</v>
      </c>
      <c r="F7">
        <v>50</v>
      </c>
      <c r="G7" t="str">
        <f t="shared" si="3"/>
        <v>E</v>
      </c>
      <c r="L7" s="1" t="s">
        <v>27</v>
      </c>
      <c r="M7" s="1" t="s">
        <v>40</v>
      </c>
      <c r="N7" s="1" t="s">
        <v>34</v>
      </c>
    </row>
    <row r="8" spans="1:15" x14ac:dyDescent="0.25">
      <c r="A8" t="s">
        <v>7</v>
      </c>
      <c r="B8" t="s">
        <v>26</v>
      </c>
      <c r="C8" t="str">
        <f>IFERROR(VLOOKUP(B8,$L$1:$M$4,2,0),"")</f>
        <v/>
      </c>
      <c r="D8">
        <f>IFERROR(VLOOKUP(B8,$L$1:$O$4,3,0),35)</f>
        <v>35</v>
      </c>
      <c r="E8" t="e">
        <f t="shared" si="2"/>
        <v>#N/A</v>
      </c>
      <c r="F8">
        <v>85</v>
      </c>
      <c r="G8" t="str">
        <f t="shared" si="3"/>
        <v>B</v>
      </c>
      <c r="L8" t="s">
        <v>28</v>
      </c>
      <c r="M8">
        <v>0</v>
      </c>
      <c r="N8" t="s">
        <v>35</v>
      </c>
    </row>
    <row r="9" spans="1:15" x14ac:dyDescent="0.25">
      <c r="A9" t="s">
        <v>8</v>
      </c>
      <c r="B9" t="s">
        <v>17</v>
      </c>
      <c r="C9" t="str">
        <f t="shared" si="0"/>
        <v>History</v>
      </c>
      <c r="D9">
        <f t="shared" si="1"/>
        <v>70</v>
      </c>
      <c r="E9">
        <f t="shared" si="2"/>
        <v>100</v>
      </c>
      <c r="F9">
        <v>76</v>
      </c>
      <c r="G9" t="str">
        <f t="shared" si="3"/>
        <v>C</v>
      </c>
      <c r="L9" t="s">
        <v>29</v>
      </c>
      <c r="M9">
        <v>50</v>
      </c>
      <c r="N9" t="s">
        <v>15</v>
      </c>
    </row>
    <row r="10" spans="1:15" x14ac:dyDescent="0.25">
      <c r="A10" t="s">
        <v>9</v>
      </c>
      <c r="B10" t="s">
        <v>15</v>
      </c>
      <c r="C10" t="str">
        <f t="shared" si="0"/>
        <v>Economics</v>
      </c>
      <c r="D10">
        <f t="shared" si="1"/>
        <v>55</v>
      </c>
      <c r="E10">
        <f t="shared" si="2"/>
        <v>60</v>
      </c>
      <c r="F10">
        <v>83</v>
      </c>
      <c r="G10" t="str">
        <f t="shared" si="3"/>
        <v>B</v>
      </c>
      <c r="L10" t="s">
        <v>30</v>
      </c>
      <c r="M10">
        <v>60</v>
      </c>
      <c r="N10" t="s">
        <v>36</v>
      </c>
    </row>
    <row r="11" spans="1:15" x14ac:dyDescent="0.25">
      <c r="A11" t="s">
        <v>10</v>
      </c>
      <c r="B11" t="s">
        <v>15</v>
      </c>
      <c r="C11" t="str">
        <f t="shared" si="0"/>
        <v>Economics</v>
      </c>
      <c r="D11">
        <f t="shared" si="1"/>
        <v>55</v>
      </c>
      <c r="E11">
        <f t="shared" si="2"/>
        <v>60</v>
      </c>
      <c r="F11">
        <v>90</v>
      </c>
      <c r="G11" t="str">
        <f t="shared" si="3"/>
        <v>A</v>
      </c>
      <c r="L11" t="s">
        <v>31</v>
      </c>
      <c r="M11">
        <v>70</v>
      </c>
      <c r="N11" t="s">
        <v>37</v>
      </c>
    </row>
    <row r="12" spans="1:15" x14ac:dyDescent="0.25">
      <c r="A12" t="s">
        <v>11</v>
      </c>
      <c r="B12" t="s">
        <v>15</v>
      </c>
      <c r="C12" t="str">
        <f t="shared" si="0"/>
        <v>Economics</v>
      </c>
      <c r="D12">
        <f t="shared" si="1"/>
        <v>55</v>
      </c>
      <c r="E12">
        <f t="shared" si="2"/>
        <v>60</v>
      </c>
      <c r="F12">
        <v>42</v>
      </c>
      <c r="G12" t="str">
        <f t="shared" si="3"/>
        <v>Fail</v>
      </c>
      <c r="L12" t="s">
        <v>32</v>
      </c>
      <c r="M12">
        <v>80</v>
      </c>
      <c r="N12" t="s">
        <v>38</v>
      </c>
    </row>
    <row r="13" spans="1:15" x14ac:dyDescent="0.25">
      <c r="A13" t="s">
        <v>12</v>
      </c>
      <c r="B13" t="s">
        <v>16</v>
      </c>
      <c r="C13" t="str">
        <f t="shared" si="0"/>
        <v>Maths</v>
      </c>
      <c r="D13">
        <f t="shared" si="1"/>
        <v>40</v>
      </c>
      <c r="E13">
        <f t="shared" si="2"/>
        <v>75</v>
      </c>
      <c r="F13">
        <v>0</v>
      </c>
      <c r="G13" t="str">
        <f t="shared" si="3"/>
        <v>Fail</v>
      </c>
      <c r="L13" t="s">
        <v>33</v>
      </c>
      <c r="M13">
        <v>90</v>
      </c>
      <c r="N13"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51DB-57EB-460C-A60E-D7CDEC04C9FD}">
  <dimension ref="C4:P15"/>
  <sheetViews>
    <sheetView zoomScale="115" zoomScaleNormal="115" workbookViewId="0">
      <selection activeCell="P13" sqref="P13"/>
    </sheetView>
  </sheetViews>
  <sheetFormatPr defaultRowHeight="15" x14ac:dyDescent="0.25"/>
  <sheetData>
    <row r="4" spans="3:16" x14ac:dyDescent="0.25">
      <c r="C4">
        <v>737</v>
      </c>
      <c r="D4">
        <v>907</v>
      </c>
      <c r="E4">
        <v>203</v>
      </c>
      <c r="F4">
        <v>44</v>
      </c>
      <c r="G4">
        <v>753</v>
      </c>
      <c r="H4">
        <v>548</v>
      </c>
      <c r="I4">
        <v>442</v>
      </c>
      <c r="J4">
        <v>327</v>
      </c>
      <c r="K4">
        <v>181</v>
      </c>
      <c r="L4">
        <v>487</v>
      </c>
      <c r="M4">
        <v>349</v>
      </c>
    </row>
    <row r="5" spans="3:16" x14ac:dyDescent="0.25">
      <c r="C5">
        <v>172</v>
      </c>
      <c r="D5">
        <v>962</v>
      </c>
      <c r="E5">
        <v>945</v>
      </c>
      <c r="F5">
        <v>707</v>
      </c>
      <c r="G5">
        <v>597</v>
      </c>
      <c r="H5">
        <v>814</v>
      </c>
      <c r="I5">
        <v>629</v>
      </c>
      <c r="J5">
        <v>644</v>
      </c>
      <c r="K5">
        <v>432</v>
      </c>
      <c r="L5">
        <v>860</v>
      </c>
      <c r="M5">
        <v>741</v>
      </c>
    </row>
    <row r="6" spans="3:16" x14ac:dyDescent="0.25">
      <c r="C6">
        <v>700</v>
      </c>
      <c r="D6">
        <v>118</v>
      </c>
      <c r="E6">
        <v>4</v>
      </c>
      <c r="F6">
        <v>195</v>
      </c>
      <c r="G6">
        <v>252</v>
      </c>
      <c r="H6">
        <v>417</v>
      </c>
      <c r="I6">
        <v>367</v>
      </c>
      <c r="J6">
        <v>333</v>
      </c>
      <c r="K6">
        <v>187</v>
      </c>
      <c r="L6">
        <v>586</v>
      </c>
      <c r="M6">
        <v>886</v>
      </c>
      <c r="P6">
        <f>INDEX(C4:M15,5,4)</f>
        <v>328</v>
      </c>
    </row>
    <row r="7" spans="3:16" x14ac:dyDescent="0.25">
      <c r="C7">
        <v>173</v>
      </c>
      <c r="D7">
        <v>456</v>
      </c>
      <c r="E7">
        <v>634</v>
      </c>
      <c r="F7">
        <v>557</v>
      </c>
      <c r="G7">
        <v>6</v>
      </c>
      <c r="H7">
        <v>415</v>
      </c>
      <c r="I7">
        <v>107</v>
      </c>
      <c r="J7">
        <v>582</v>
      </c>
      <c r="K7">
        <v>991</v>
      </c>
      <c r="L7">
        <v>914</v>
      </c>
      <c r="M7">
        <v>857</v>
      </c>
    </row>
    <row r="8" spans="3:16" x14ac:dyDescent="0.25">
      <c r="C8">
        <v>50</v>
      </c>
      <c r="D8">
        <v>32</v>
      </c>
      <c r="E8">
        <v>771</v>
      </c>
      <c r="F8">
        <v>328</v>
      </c>
      <c r="G8">
        <v>307</v>
      </c>
      <c r="H8">
        <v>832</v>
      </c>
      <c r="I8">
        <v>784</v>
      </c>
      <c r="J8">
        <v>360</v>
      </c>
      <c r="K8">
        <v>540</v>
      </c>
      <c r="L8">
        <v>717</v>
      </c>
      <c r="M8">
        <v>555</v>
      </c>
      <c r="P8">
        <f>INDEX(C4:M15,8,3)</f>
        <v>536</v>
      </c>
    </row>
    <row r="9" spans="3:16" x14ac:dyDescent="0.25">
      <c r="C9">
        <v>404</v>
      </c>
      <c r="D9">
        <v>566</v>
      </c>
      <c r="E9">
        <v>361</v>
      </c>
      <c r="F9">
        <v>694</v>
      </c>
      <c r="G9">
        <v>438</v>
      </c>
      <c r="H9">
        <v>179</v>
      </c>
      <c r="I9">
        <v>922</v>
      </c>
      <c r="J9">
        <v>591</v>
      </c>
      <c r="K9">
        <v>537</v>
      </c>
      <c r="L9">
        <v>207</v>
      </c>
      <c r="M9">
        <v>699</v>
      </c>
    </row>
    <row r="10" spans="3:16" x14ac:dyDescent="0.25">
      <c r="C10">
        <v>772</v>
      </c>
      <c r="D10">
        <v>832</v>
      </c>
      <c r="E10">
        <v>237</v>
      </c>
      <c r="F10">
        <v>169</v>
      </c>
      <c r="G10">
        <v>814</v>
      </c>
      <c r="H10">
        <v>678</v>
      </c>
      <c r="I10">
        <v>829</v>
      </c>
      <c r="J10">
        <v>653</v>
      </c>
      <c r="K10">
        <v>476</v>
      </c>
      <c r="L10">
        <v>727</v>
      </c>
      <c r="M10">
        <v>587</v>
      </c>
      <c r="P10">
        <f>INDEX(C4:M15,2,7)</f>
        <v>629</v>
      </c>
    </row>
    <row r="11" spans="3:16" x14ac:dyDescent="0.25">
      <c r="C11">
        <v>635</v>
      </c>
      <c r="D11">
        <v>91</v>
      </c>
      <c r="E11">
        <v>536</v>
      </c>
      <c r="F11">
        <v>241</v>
      </c>
      <c r="G11">
        <v>516</v>
      </c>
      <c r="H11">
        <v>181</v>
      </c>
      <c r="I11">
        <v>89</v>
      </c>
      <c r="J11">
        <v>641</v>
      </c>
      <c r="K11">
        <v>731</v>
      </c>
      <c r="L11">
        <v>314</v>
      </c>
      <c r="M11">
        <v>523</v>
      </c>
    </row>
    <row r="12" spans="3:16" x14ac:dyDescent="0.25">
      <c r="C12">
        <v>893</v>
      </c>
      <c r="D12">
        <v>284</v>
      </c>
      <c r="E12">
        <v>259</v>
      </c>
      <c r="F12">
        <v>426</v>
      </c>
      <c r="G12">
        <v>273</v>
      </c>
      <c r="H12">
        <v>652</v>
      </c>
      <c r="I12">
        <v>142</v>
      </c>
      <c r="J12">
        <v>54</v>
      </c>
      <c r="K12">
        <v>121</v>
      </c>
      <c r="L12">
        <v>443</v>
      </c>
      <c r="M12">
        <v>56</v>
      </c>
    </row>
    <row r="13" spans="3:16" x14ac:dyDescent="0.25">
      <c r="C13">
        <v>973</v>
      </c>
      <c r="D13">
        <v>616</v>
      </c>
      <c r="E13">
        <v>363</v>
      </c>
      <c r="F13">
        <v>857</v>
      </c>
      <c r="G13">
        <v>883</v>
      </c>
      <c r="H13">
        <v>50</v>
      </c>
      <c r="I13">
        <v>132</v>
      </c>
      <c r="J13">
        <v>432</v>
      </c>
      <c r="K13">
        <v>153</v>
      </c>
      <c r="L13">
        <v>506</v>
      </c>
      <c r="M13">
        <v>335</v>
      </c>
    </row>
    <row r="14" spans="3:16" x14ac:dyDescent="0.25">
      <c r="C14">
        <v>197</v>
      </c>
      <c r="D14">
        <v>11</v>
      </c>
      <c r="E14">
        <v>239</v>
      </c>
      <c r="F14">
        <v>427</v>
      </c>
      <c r="G14">
        <v>909</v>
      </c>
      <c r="H14">
        <v>475</v>
      </c>
      <c r="I14">
        <v>292</v>
      </c>
      <c r="J14">
        <v>699</v>
      </c>
      <c r="K14">
        <v>228</v>
      </c>
      <c r="L14">
        <v>22</v>
      </c>
      <c r="M14">
        <v>821</v>
      </c>
    </row>
    <row r="15" spans="3:16" x14ac:dyDescent="0.25">
      <c r="C15">
        <v>820</v>
      </c>
      <c r="D15">
        <v>527</v>
      </c>
      <c r="E15">
        <v>43</v>
      </c>
      <c r="F15">
        <v>128</v>
      </c>
      <c r="G15">
        <v>677</v>
      </c>
      <c r="H15">
        <v>770</v>
      </c>
      <c r="I15">
        <v>538</v>
      </c>
      <c r="J15">
        <v>787</v>
      </c>
      <c r="K15">
        <v>857</v>
      </c>
      <c r="L15">
        <v>753</v>
      </c>
      <c r="M15">
        <v>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C134-A2D4-44C5-8812-D3072C60D4BD}">
  <dimension ref="B3:P18"/>
  <sheetViews>
    <sheetView workbookViewId="0">
      <selection activeCell="F11" sqref="F11"/>
    </sheetView>
  </sheetViews>
  <sheetFormatPr defaultRowHeight="15" x14ac:dyDescent="0.25"/>
  <sheetData>
    <row r="3" spans="2:16" x14ac:dyDescent="0.25">
      <c r="B3">
        <v>98</v>
      </c>
      <c r="D3">
        <f>MATCH(44,B3:B18,0)</f>
        <v>8</v>
      </c>
      <c r="H3">
        <v>1</v>
      </c>
      <c r="N3">
        <v>98</v>
      </c>
    </row>
    <row r="4" spans="2:16" x14ac:dyDescent="0.25">
      <c r="B4">
        <v>6</v>
      </c>
      <c r="H4">
        <v>6</v>
      </c>
      <c r="J4">
        <f>MATCH(70,H3:H18,1)</f>
        <v>9</v>
      </c>
      <c r="N4">
        <v>92</v>
      </c>
      <c r="P4" t="e">
        <f>MATCH(100,N3:N18,-1)</f>
        <v>#N/A</v>
      </c>
    </row>
    <row r="5" spans="2:16" x14ac:dyDescent="0.25">
      <c r="B5">
        <v>74</v>
      </c>
      <c r="D5">
        <f>MATCH(19,B3:B18,0)</f>
        <v>13</v>
      </c>
      <c r="H5">
        <v>16</v>
      </c>
      <c r="N5">
        <v>91</v>
      </c>
    </row>
    <row r="6" spans="2:16" x14ac:dyDescent="0.25">
      <c r="B6">
        <v>38</v>
      </c>
      <c r="H6">
        <v>19</v>
      </c>
      <c r="J6">
        <f>MATCH(88,H3:H18,1)</f>
        <v>13</v>
      </c>
      <c r="N6">
        <v>73</v>
      </c>
      <c r="P6">
        <f>MATCH(90,N3:N18,-1)</f>
        <v>3</v>
      </c>
    </row>
    <row r="7" spans="2:16" x14ac:dyDescent="0.25">
      <c r="B7">
        <v>11</v>
      </c>
      <c r="D7" t="e">
        <f>MATCH(80,B3:B18,0)</f>
        <v>#N/A</v>
      </c>
      <c r="H7">
        <v>36</v>
      </c>
      <c r="N7">
        <v>68</v>
      </c>
    </row>
    <row r="8" spans="2:16" x14ac:dyDescent="0.25">
      <c r="B8">
        <v>77</v>
      </c>
      <c r="H8">
        <v>41</v>
      </c>
      <c r="J8">
        <f>MATCH(30,H3:H18,1)</f>
        <v>4</v>
      </c>
      <c r="N8">
        <v>68</v>
      </c>
    </row>
    <row r="9" spans="2:16" x14ac:dyDescent="0.25">
      <c r="B9">
        <v>2</v>
      </c>
      <c r="H9">
        <v>54</v>
      </c>
      <c r="N9">
        <v>67</v>
      </c>
    </row>
    <row r="10" spans="2:16" x14ac:dyDescent="0.25">
      <c r="B10">
        <v>44</v>
      </c>
      <c r="H10">
        <v>54</v>
      </c>
      <c r="J10">
        <f>MATCH(90,H3:H18,1)</f>
        <v>14</v>
      </c>
      <c r="N10">
        <v>58</v>
      </c>
    </row>
    <row r="11" spans="2:16" x14ac:dyDescent="0.25">
      <c r="B11">
        <v>25</v>
      </c>
      <c r="H11">
        <v>70</v>
      </c>
      <c r="N11">
        <v>55</v>
      </c>
    </row>
    <row r="12" spans="2:16" x14ac:dyDescent="0.25">
      <c r="B12">
        <v>49</v>
      </c>
      <c r="H12">
        <v>76</v>
      </c>
      <c r="N12">
        <v>52</v>
      </c>
    </row>
    <row r="13" spans="2:16" x14ac:dyDescent="0.25">
      <c r="B13">
        <v>71</v>
      </c>
      <c r="H13">
        <v>81</v>
      </c>
      <c r="N13">
        <v>49</v>
      </c>
    </row>
    <row r="14" spans="2:16" x14ac:dyDescent="0.25">
      <c r="B14">
        <v>81</v>
      </c>
      <c r="H14">
        <v>87</v>
      </c>
      <c r="N14">
        <v>38</v>
      </c>
    </row>
    <row r="15" spans="2:16" x14ac:dyDescent="0.25">
      <c r="B15">
        <v>19</v>
      </c>
      <c r="H15">
        <v>88</v>
      </c>
      <c r="N15">
        <v>30</v>
      </c>
    </row>
    <row r="16" spans="2:16" x14ac:dyDescent="0.25">
      <c r="B16">
        <v>34</v>
      </c>
      <c r="H16">
        <v>89</v>
      </c>
      <c r="N16">
        <v>25</v>
      </c>
    </row>
    <row r="17" spans="2:14" x14ac:dyDescent="0.25">
      <c r="B17">
        <v>86</v>
      </c>
      <c r="H17">
        <v>92</v>
      </c>
      <c r="N17">
        <v>10</v>
      </c>
    </row>
    <row r="18" spans="2:14" x14ac:dyDescent="0.25">
      <c r="B18">
        <v>90</v>
      </c>
      <c r="H18">
        <v>94</v>
      </c>
      <c r="N18">
        <v>6</v>
      </c>
    </row>
  </sheetData>
  <sortState xmlns:xlrd2="http://schemas.microsoft.com/office/spreadsheetml/2017/richdata2" ref="N3:N18">
    <sortCondition descending="1" ref="N3:N1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D354-A4F2-4490-872E-A6E394B872A5}">
  <dimension ref="A1:L51"/>
  <sheetViews>
    <sheetView zoomScale="130" zoomScaleNormal="130" workbookViewId="0">
      <selection activeCell="A4" sqref="A4"/>
    </sheetView>
  </sheetViews>
  <sheetFormatPr defaultRowHeight="15" x14ac:dyDescent="0.25"/>
  <cols>
    <col min="8" max="8" width="7.85546875" customWidth="1"/>
    <col min="9" max="9" width="22.85546875" bestFit="1" customWidth="1"/>
    <col min="10" max="10" width="3.28515625" customWidth="1"/>
    <col min="12" max="12" width="19.7109375" bestFit="1" customWidth="1"/>
  </cols>
  <sheetData>
    <row r="1" spans="1:12" x14ac:dyDescent="0.25">
      <c r="A1" s="2" t="s">
        <v>92</v>
      </c>
      <c r="B1" s="2" t="s">
        <v>93</v>
      </c>
      <c r="C1" s="2" t="s">
        <v>41</v>
      </c>
      <c r="D1" s="2" t="s">
        <v>94</v>
      </c>
      <c r="E1" s="2" t="s">
        <v>95</v>
      </c>
    </row>
    <row r="2" spans="1:12" x14ac:dyDescent="0.25">
      <c r="A2" t="s">
        <v>96</v>
      </c>
      <c r="B2" t="s">
        <v>97</v>
      </c>
      <c r="C2" t="s">
        <v>42</v>
      </c>
      <c r="D2">
        <v>57900</v>
      </c>
      <c r="E2">
        <v>57</v>
      </c>
      <c r="H2" t="s">
        <v>41</v>
      </c>
      <c r="I2" t="s">
        <v>45</v>
      </c>
    </row>
    <row r="3" spans="1:12" x14ac:dyDescent="0.25">
      <c r="A3" t="s">
        <v>98</v>
      </c>
      <c r="B3" t="s">
        <v>99</v>
      </c>
      <c r="C3" t="s">
        <v>43</v>
      </c>
      <c r="D3">
        <v>96400</v>
      </c>
      <c r="E3">
        <v>31</v>
      </c>
    </row>
    <row r="4" spans="1:12" x14ac:dyDescent="0.25">
      <c r="A4" t="s">
        <v>96</v>
      </c>
      <c r="B4" t="s">
        <v>100</v>
      </c>
      <c r="C4" t="s">
        <v>44</v>
      </c>
      <c r="D4">
        <v>60600</v>
      </c>
      <c r="E4">
        <v>38</v>
      </c>
      <c r="H4" s="3" t="s">
        <v>92</v>
      </c>
      <c r="I4" s="4" t="str">
        <f>INDEX(EmpData,MATCH(I2,$C$1:$C$51,0),1)</f>
        <v>Che</v>
      </c>
      <c r="K4" s="3" t="s">
        <v>92</v>
      </c>
      <c r="L4" s="4" t="str">
        <f>LOOKUP(SearchID,EmpID,City)</f>
        <v>Che</v>
      </c>
    </row>
    <row r="5" spans="1:12" x14ac:dyDescent="0.25">
      <c r="A5" t="s">
        <v>98</v>
      </c>
      <c r="B5" t="s">
        <v>100</v>
      </c>
      <c r="C5" t="s">
        <v>45</v>
      </c>
      <c r="D5">
        <v>46400</v>
      </c>
      <c r="E5">
        <v>41</v>
      </c>
      <c r="H5" s="5" t="s">
        <v>93</v>
      </c>
      <c r="I5" s="6" t="str">
        <f>INDEX(EmpData,MATCH(I2,$C$1:$C$51,0),2)</f>
        <v>Admin</v>
      </c>
      <c r="K5" s="5" t="s">
        <v>93</v>
      </c>
      <c r="L5" s="6" t="str">
        <f>LOOKUP(SearchID,EmpID,Dept)</f>
        <v>Admin</v>
      </c>
    </row>
    <row r="6" spans="1:12" x14ac:dyDescent="0.25">
      <c r="A6" t="s">
        <v>101</v>
      </c>
      <c r="B6" t="s">
        <v>100</v>
      </c>
      <c r="C6" t="s">
        <v>46</v>
      </c>
      <c r="D6">
        <v>47700</v>
      </c>
      <c r="E6">
        <v>38</v>
      </c>
      <c r="H6" s="5" t="s">
        <v>94</v>
      </c>
      <c r="I6" s="6">
        <f>INDEX(EmpData,MATCH(I2,$C$1:$C$51,0),4)</f>
        <v>46400</v>
      </c>
      <c r="K6" s="5" t="s">
        <v>94</v>
      </c>
      <c r="L6" s="6">
        <f>LOOKUP(SearchID,EmpID,Salary)</f>
        <v>46400</v>
      </c>
    </row>
    <row r="7" spans="1:12" x14ac:dyDescent="0.25">
      <c r="A7" t="s">
        <v>96</v>
      </c>
      <c r="B7" t="s">
        <v>102</v>
      </c>
      <c r="C7" t="s">
        <v>47</v>
      </c>
      <c r="D7">
        <v>41200</v>
      </c>
      <c r="E7">
        <v>26</v>
      </c>
      <c r="H7" s="7" t="s">
        <v>95</v>
      </c>
      <c r="I7" s="8">
        <f>INDEX(EmpData,MATCH(I2,$C$1:$C$51,0),5)</f>
        <v>41</v>
      </c>
      <c r="K7" s="7" t="s">
        <v>95</v>
      </c>
      <c r="L7" s="8">
        <f>LOOKUP(SearchID,EmpID,Age)</f>
        <v>41</v>
      </c>
    </row>
    <row r="8" spans="1:12" x14ac:dyDescent="0.25">
      <c r="A8" t="s">
        <v>96</v>
      </c>
      <c r="B8" t="s">
        <v>102</v>
      </c>
      <c r="C8" t="s">
        <v>48</v>
      </c>
      <c r="D8">
        <v>61400</v>
      </c>
      <c r="E8">
        <v>21</v>
      </c>
    </row>
    <row r="9" spans="1:12" x14ac:dyDescent="0.25">
      <c r="A9" t="s">
        <v>103</v>
      </c>
      <c r="B9" t="s">
        <v>97</v>
      </c>
      <c r="C9" t="s">
        <v>49</v>
      </c>
      <c r="D9">
        <v>53800</v>
      </c>
      <c r="E9">
        <v>28</v>
      </c>
      <c r="H9" s="3" t="s">
        <v>92</v>
      </c>
      <c r="I9" s="4" t="str" cm="1">
        <f t="array" ref="I9">INDEX(EmpData,MATCH(SearchID,EmpID,0)+1,1)</f>
        <v>Che</v>
      </c>
      <c r="K9" s="3" t="s">
        <v>92</v>
      </c>
      <c r="L9" s="9" t="str">
        <f ca="1">LOOKUP(SearchID,EmpID,INDIRECT(K9))</f>
        <v>Che</v>
      </c>
    </row>
    <row r="10" spans="1:12" x14ac:dyDescent="0.25">
      <c r="A10" t="s">
        <v>98</v>
      </c>
      <c r="B10" t="s">
        <v>99</v>
      </c>
      <c r="C10" t="s">
        <v>50</v>
      </c>
      <c r="D10">
        <v>74600</v>
      </c>
      <c r="E10">
        <v>34</v>
      </c>
      <c r="H10" s="5" t="s">
        <v>93</v>
      </c>
      <c r="I10" s="6" t="str" cm="1">
        <f t="array" ref="I10">INDEX(EmpData,MATCH(SearchID,EmpID,0)+1,2)</f>
        <v>Admin</v>
      </c>
      <c r="K10" s="5" t="s">
        <v>93</v>
      </c>
      <c r="L10" s="10" t="str">
        <f ca="1">LOOKUP(SearchID,EmpID,INDIRECT(K10))</f>
        <v>Admin</v>
      </c>
    </row>
    <row r="11" spans="1:12" x14ac:dyDescent="0.25">
      <c r="A11" t="s">
        <v>104</v>
      </c>
      <c r="B11" t="s">
        <v>100</v>
      </c>
      <c r="C11" t="s">
        <v>51</v>
      </c>
      <c r="D11">
        <v>39500</v>
      </c>
      <c r="E11">
        <v>39</v>
      </c>
      <c r="H11" s="5" t="s">
        <v>94</v>
      </c>
      <c r="I11" s="6" cm="1">
        <f t="array" ref="I11">INDEX(EmpData,MATCH(SearchID,EmpID,0)+1,4)</f>
        <v>46400</v>
      </c>
      <c r="K11" s="5" t="s">
        <v>94</v>
      </c>
      <c r="L11" s="10">
        <f ca="1">LOOKUP(SearchID,EmpID,INDIRECT(K11))</f>
        <v>46400</v>
      </c>
    </row>
    <row r="12" spans="1:12" x14ac:dyDescent="0.25">
      <c r="A12" t="s">
        <v>105</v>
      </c>
      <c r="B12" t="s">
        <v>106</v>
      </c>
      <c r="C12" t="s">
        <v>52</v>
      </c>
      <c r="D12">
        <v>13000</v>
      </c>
      <c r="E12">
        <v>58</v>
      </c>
      <c r="H12" s="7" t="s">
        <v>95</v>
      </c>
      <c r="I12" s="8" cm="1">
        <f t="array" ref="I12">INDEX(EmpData,MATCH(SearchID,EmpID,0)+1,5)</f>
        <v>41</v>
      </c>
      <c r="K12" s="7" t="s">
        <v>95</v>
      </c>
      <c r="L12" s="11">
        <f ca="1">LOOKUP(SearchID,EmpID,INDIRECT(K12))</f>
        <v>41</v>
      </c>
    </row>
    <row r="13" spans="1:12" x14ac:dyDescent="0.25">
      <c r="A13" t="s">
        <v>103</v>
      </c>
      <c r="B13" t="s">
        <v>106</v>
      </c>
      <c r="C13" t="s">
        <v>53</v>
      </c>
      <c r="D13">
        <v>57500</v>
      </c>
      <c r="E13">
        <v>51</v>
      </c>
    </row>
    <row r="14" spans="1:12" x14ac:dyDescent="0.25">
      <c r="A14" t="s">
        <v>103</v>
      </c>
      <c r="B14" t="s">
        <v>102</v>
      </c>
      <c r="C14" t="s">
        <v>54</v>
      </c>
      <c r="D14">
        <v>21800</v>
      </c>
      <c r="E14">
        <v>38</v>
      </c>
    </row>
    <row r="15" spans="1:12" x14ac:dyDescent="0.25">
      <c r="A15" t="s">
        <v>96</v>
      </c>
      <c r="B15" t="s">
        <v>102</v>
      </c>
      <c r="C15" t="s">
        <v>55</v>
      </c>
      <c r="D15">
        <v>31400</v>
      </c>
      <c r="E15">
        <v>25</v>
      </c>
    </row>
    <row r="16" spans="1:12" x14ac:dyDescent="0.25">
      <c r="A16" t="s">
        <v>98</v>
      </c>
      <c r="B16" t="s">
        <v>106</v>
      </c>
      <c r="C16" t="s">
        <v>56</v>
      </c>
      <c r="D16">
        <v>21200</v>
      </c>
      <c r="E16">
        <v>53</v>
      </c>
    </row>
    <row r="17" spans="1:5" x14ac:dyDescent="0.25">
      <c r="A17" t="s">
        <v>103</v>
      </c>
      <c r="B17" t="s">
        <v>97</v>
      </c>
      <c r="C17" t="s">
        <v>57</v>
      </c>
      <c r="D17">
        <v>21000</v>
      </c>
      <c r="E17">
        <v>23</v>
      </c>
    </row>
    <row r="18" spans="1:5" x14ac:dyDescent="0.25">
      <c r="A18" t="s">
        <v>96</v>
      </c>
      <c r="B18" t="s">
        <v>100</v>
      </c>
      <c r="C18" t="s">
        <v>58</v>
      </c>
      <c r="D18">
        <v>97500</v>
      </c>
      <c r="E18">
        <v>45</v>
      </c>
    </row>
    <row r="19" spans="1:5" x14ac:dyDescent="0.25">
      <c r="A19" t="s">
        <v>107</v>
      </c>
      <c r="B19" t="s">
        <v>99</v>
      </c>
      <c r="C19" t="s">
        <v>59</v>
      </c>
      <c r="D19">
        <v>59100</v>
      </c>
      <c r="E19">
        <v>37</v>
      </c>
    </row>
    <row r="20" spans="1:5" x14ac:dyDescent="0.25">
      <c r="A20" t="s">
        <v>96</v>
      </c>
      <c r="B20" t="s">
        <v>97</v>
      </c>
      <c r="C20" t="s">
        <v>60</v>
      </c>
      <c r="D20">
        <v>37600</v>
      </c>
      <c r="E20">
        <v>31</v>
      </c>
    </row>
    <row r="21" spans="1:5" x14ac:dyDescent="0.25">
      <c r="A21" t="s">
        <v>101</v>
      </c>
      <c r="B21" t="s">
        <v>102</v>
      </c>
      <c r="C21" t="s">
        <v>61</v>
      </c>
      <c r="D21">
        <v>37900</v>
      </c>
      <c r="E21">
        <v>29</v>
      </c>
    </row>
    <row r="22" spans="1:5" x14ac:dyDescent="0.25">
      <c r="A22" t="s">
        <v>101</v>
      </c>
      <c r="B22" t="s">
        <v>99</v>
      </c>
      <c r="C22" t="s">
        <v>62</v>
      </c>
      <c r="D22">
        <v>55200</v>
      </c>
      <c r="E22">
        <v>42</v>
      </c>
    </row>
    <row r="23" spans="1:5" x14ac:dyDescent="0.25">
      <c r="A23" t="s">
        <v>107</v>
      </c>
      <c r="B23" t="s">
        <v>99</v>
      </c>
      <c r="C23" t="s">
        <v>63</v>
      </c>
      <c r="D23">
        <v>35500</v>
      </c>
      <c r="E23">
        <v>39</v>
      </c>
    </row>
    <row r="24" spans="1:5" x14ac:dyDescent="0.25">
      <c r="A24" t="s">
        <v>103</v>
      </c>
      <c r="B24" t="s">
        <v>100</v>
      </c>
      <c r="C24" t="s">
        <v>64</v>
      </c>
      <c r="D24">
        <v>42500</v>
      </c>
      <c r="E24">
        <v>46</v>
      </c>
    </row>
    <row r="25" spans="1:5" x14ac:dyDescent="0.25">
      <c r="A25" t="s">
        <v>98</v>
      </c>
      <c r="B25" t="s">
        <v>102</v>
      </c>
      <c r="C25" t="s">
        <v>65</v>
      </c>
      <c r="D25">
        <v>11000</v>
      </c>
      <c r="E25">
        <v>50</v>
      </c>
    </row>
    <row r="26" spans="1:5" x14ac:dyDescent="0.25">
      <c r="A26" t="s">
        <v>103</v>
      </c>
      <c r="B26" t="s">
        <v>97</v>
      </c>
      <c r="C26" t="s">
        <v>66</v>
      </c>
      <c r="D26">
        <v>26400</v>
      </c>
      <c r="E26">
        <v>57</v>
      </c>
    </row>
    <row r="27" spans="1:5" x14ac:dyDescent="0.25">
      <c r="A27" t="s">
        <v>101</v>
      </c>
      <c r="B27" t="s">
        <v>102</v>
      </c>
      <c r="C27" t="s">
        <v>67</v>
      </c>
      <c r="D27">
        <v>26800</v>
      </c>
      <c r="E27">
        <v>51</v>
      </c>
    </row>
    <row r="28" spans="1:5" x14ac:dyDescent="0.25">
      <c r="A28" t="s">
        <v>96</v>
      </c>
      <c r="B28" t="s">
        <v>102</v>
      </c>
      <c r="C28" t="s">
        <v>68</v>
      </c>
      <c r="D28">
        <v>93400</v>
      </c>
      <c r="E28">
        <v>35</v>
      </c>
    </row>
    <row r="29" spans="1:5" x14ac:dyDescent="0.25">
      <c r="A29" t="s">
        <v>101</v>
      </c>
      <c r="B29" t="s">
        <v>102</v>
      </c>
      <c r="C29" t="s">
        <v>69</v>
      </c>
      <c r="D29">
        <v>89800</v>
      </c>
      <c r="E29">
        <v>27</v>
      </c>
    </row>
    <row r="30" spans="1:5" x14ac:dyDescent="0.25">
      <c r="A30" t="s">
        <v>105</v>
      </c>
      <c r="B30" t="s">
        <v>99</v>
      </c>
      <c r="C30" t="s">
        <v>70</v>
      </c>
      <c r="D30">
        <v>57800</v>
      </c>
      <c r="E30">
        <v>27</v>
      </c>
    </row>
    <row r="31" spans="1:5" x14ac:dyDescent="0.25">
      <c r="A31" t="s">
        <v>98</v>
      </c>
      <c r="B31" t="s">
        <v>99</v>
      </c>
      <c r="C31" t="s">
        <v>71</v>
      </c>
      <c r="D31">
        <v>55800</v>
      </c>
      <c r="E31">
        <v>50</v>
      </c>
    </row>
    <row r="32" spans="1:5" x14ac:dyDescent="0.25">
      <c r="A32" t="s">
        <v>96</v>
      </c>
      <c r="B32" t="s">
        <v>106</v>
      </c>
      <c r="C32" t="s">
        <v>72</v>
      </c>
      <c r="D32">
        <v>51800</v>
      </c>
      <c r="E32">
        <v>29</v>
      </c>
    </row>
    <row r="33" spans="1:5" x14ac:dyDescent="0.25">
      <c r="A33" t="s">
        <v>105</v>
      </c>
      <c r="B33" t="s">
        <v>97</v>
      </c>
      <c r="C33" t="s">
        <v>73</v>
      </c>
      <c r="D33">
        <v>20100</v>
      </c>
      <c r="E33">
        <v>43</v>
      </c>
    </row>
    <row r="34" spans="1:5" x14ac:dyDescent="0.25">
      <c r="A34" t="s">
        <v>104</v>
      </c>
      <c r="B34" t="s">
        <v>99</v>
      </c>
      <c r="C34" t="s">
        <v>74</v>
      </c>
      <c r="D34">
        <v>40300</v>
      </c>
      <c r="E34">
        <v>45</v>
      </c>
    </row>
    <row r="35" spans="1:5" x14ac:dyDescent="0.25">
      <c r="A35" t="s">
        <v>105</v>
      </c>
      <c r="B35" t="s">
        <v>99</v>
      </c>
      <c r="C35" t="s">
        <v>75</v>
      </c>
      <c r="D35">
        <v>20100</v>
      </c>
      <c r="E35">
        <v>29</v>
      </c>
    </row>
    <row r="36" spans="1:5" x14ac:dyDescent="0.25">
      <c r="A36" t="s">
        <v>104</v>
      </c>
      <c r="B36" t="s">
        <v>97</v>
      </c>
      <c r="C36" t="s">
        <v>76</v>
      </c>
      <c r="D36">
        <v>63100</v>
      </c>
      <c r="E36">
        <v>47</v>
      </c>
    </row>
    <row r="37" spans="1:5" x14ac:dyDescent="0.25">
      <c r="A37" t="s">
        <v>103</v>
      </c>
      <c r="B37" t="s">
        <v>99</v>
      </c>
      <c r="C37" t="s">
        <v>77</v>
      </c>
      <c r="D37">
        <v>83500</v>
      </c>
      <c r="E37">
        <v>51</v>
      </c>
    </row>
    <row r="38" spans="1:5" x14ac:dyDescent="0.25">
      <c r="A38" t="s">
        <v>101</v>
      </c>
      <c r="B38" t="s">
        <v>102</v>
      </c>
      <c r="C38" t="s">
        <v>78</v>
      </c>
      <c r="D38">
        <v>60100</v>
      </c>
      <c r="E38">
        <v>60</v>
      </c>
    </row>
    <row r="39" spans="1:5" x14ac:dyDescent="0.25">
      <c r="A39" t="s">
        <v>96</v>
      </c>
      <c r="B39" t="s">
        <v>102</v>
      </c>
      <c r="C39" t="s">
        <v>79</v>
      </c>
      <c r="D39">
        <v>44800</v>
      </c>
      <c r="E39">
        <v>47</v>
      </c>
    </row>
    <row r="40" spans="1:5" x14ac:dyDescent="0.25">
      <c r="A40" t="s">
        <v>101</v>
      </c>
      <c r="B40" t="s">
        <v>97</v>
      </c>
      <c r="C40" t="s">
        <v>80</v>
      </c>
      <c r="D40">
        <v>81800</v>
      </c>
      <c r="E40">
        <v>21</v>
      </c>
    </row>
    <row r="41" spans="1:5" x14ac:dyDescent="0.25">
      <c r="A41" t="s">
        <v>103</v>
      </c>
      <c r="B41" t="s">
        <v>106</v>
      </c>
      <c r="C41" t="s">
        <v>81</v>
      </c>
      <c r="D41">
        <v>90200</v>
      </c>
      <c r="E41">
        <v>26</v>
      </c>
    </row>
    <row r="42" spans="1:5" x14ac:dyDescent="0.25">
      <c r="A42" t="s">
        <v>101</v>
      </c>
      <c r="B42" t="s">
        <v>102</v>
      </c>
      <c r="C42" t="s">
        <v>82</v>
      </c>
      <c r="D42">
        <v>34600</v>
      </c>
      <c r="E42">
        <v>49</v>
      </c>
    </row>
    <row r="43" spans="1:5" x14ac:dyDescent="0.25">
      <c r="A43" t="s">
        <v>98</v>
      </c>
      <c r="B43" t="s">
        <v>99</v>
      </c>
      <c r="C43" t="s">
        <v>83</v>
      </c>
      <c r="D43">
        <v>62100</v>
      </c>
      <c r="E43">
        <v>38</v>
      </c>
    </row>
    <row r="44" spans="1:5" x14ac:dyDescent="0.25">
      <c r="A44" t="s">
        <v>103</v>
      </c>
      <c r="B44" t="s">
        <v>100</v>
      </c>
      <c r="C44" t="s">
        <v>84</v>
      </c>
      <c r="D44">
        <v>43400</v>
      </c>
      <c r="E44">
        <v>56</v>
      </c>
    </row>
    <row r="45" spans="1:5" x14ac:dyDescent="0.25">
      <c r="A45" t="s">
        <v>104</v>
      </c>
      <c r="B45" t="s">
        <v>100</v>
      </c>
      <c r="C45" t="s">
        <v>85</v>
      </c>
      <c r="D45">
        <v>63800</v>
      </c>
      <c r="E45">
        <v>46</v>
      </c>
    </row>
    <row r="46" spans="1:5" x14ac:dyDescent="0.25">
      <c r="A46" t="s">
        <v>104</v>
      </c>
      <c r="B46" t="s">
        <v>106</v>
      </c>
      <c r="C46" t="s">
        <v>86</v>
      </c>
      <c r="D46">
        <v>62900</v>
      </c>
      <c r="E46">
        <v>56</v>
      </c>
    </row>
    <row r="47" spans="1:5" x14ac:dyDescent="0.25">
      <c r="A47" t="s">
        <v>105</v>
      </c>
      <c r="B47" t="s">
        <v>106</v>
      </c>
      <c r="C47" t="s">
        <v>87</v>
      </c>
      <c r="D47">
        <v>47900</v>
      </c>
      <c r="E47">
        <v>55</v>
      </c>
    </row>
    <row r="48" spans="1:5" x14ac:dyDescent="0.25">
      <c r="A48" t="s">
        <v>104</v>
      </c>
      <c r="B48" t="s">
        <v>102</v>
      </c>
      <c r="C48" t="s">
        <v>88</v>
      </c>
      <c r="D48">
        <v>69900</v>
      </c>
      <c r="E48">
        <v>39</v>
      </c>
    </row>
    <row r="49" spans="1:5" x14ac:dyDescent="0.25">
      <c r="A49" t="s">
        <v>101</v>
      </c>
      <c r="B49" t="s">
        <v>99</v>
      </c>
      <c r="C49" t="s">
        <v>89</v>
      </c>
      <c r="D49">
        <v>71400</v>
      </c>
      <c r="E49">
        <v>51</v>
      </c>
    </row>
    <row r="50" spans="1:5" x14ac:dyDescent="0.25">
      <c r="A50" t="s">
        <v>103</v>
      </c>
      <c r="B50" t="s">
        <v>106</v>
      </c>
      <c r="C50" t="s">
        <v>90</v>
      </c>
      <c r="D50">
        <v>63900</v>
      </c>
      <c r="E50">
        <v>58</v>
      </c>
    </row>
    <row r="51" spans="1:5" x14ac:dyDescent="0.25">
      <c r="A51" t="s">
        <v>103</v>
      </c>
      <c r="B51" t="s">
        <v>106</v>
      </c>
      <c r="C51" t="s">
        <v>91</v>
      </c>
      <c r="D51">
        <v>11500</v>
      </c>
      <c r="E51">
        <v>50</v>
      </c>
    </row>
  </sheetData>
  <phoneticPr fontId="2" type="noConversion"/>
  <conditionalFormatting sqref="A1:E51">
    <cfRule type="expression" dxfId="8" priority="1">
      <formula>OR($B1="Sales",$B1="Legal")</formula>
    </cfRule>
    <cfRule type="expression" dxfId="7" priority="2">
      <formula>$A:$A =OR($B1="Sales",$B1="Legal")</formula>
    </cfRule>
  </conditionalFormatting>
  <dataValidations count="1">
    <dataValidation type="list" allowBlank="1" showInputMessage="1" showErrorMessage="1" sqref="I2" xr:uid="{F1BCA881-F04D-4AA7-999C-8B913816EAA8}">
      <formula1>$C$2:$C$51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9B99-4877-4AA0-A3BC-879594DFE926}">
  <dimension ref="A1:H13"/>
  <sheetViews>
    <sheetView zoomScale="115" zoomScaleNormal="115" workbookViewId="0">
      <selection sqref="A1:B13"/>
    </sheetView>
  </sheetViews>
  <sheetFormatPr defaultRowHeight="15" x14ac:dyDescent="0.25"/>
  <sheetData>
    <row r="1" spans="1:8" x14ac:dyDescent="0.25">
      <c r="A1" s="1" t="s">
        <v>108</v>
      </c>
      <c r="B1" s="1" t="s">
        <v>97</v>
      </c>
      <c r="F1" s="1" t="s">
        <v>108</v>
      </c>
      <c r="G1" s="1" t="str">
        <f>"Top "&amp;D2</f>
        <v>Top 6</v>
      </c>
      <c r="H1" s="1" t="str">
        <f>"Not Top "&amp;D2</f>
        <v>Not Top 6</v>
      </c>
    </row>
    <row r="2" spans="1:8" x14ac:dyDescent="0.25">
      <c r="A2" t="s">
        <v>109</v>
      </c>
      <c r="B2">
        <v>7950300</v>
      </c>
      <c r="D2">
        <v>6</v>
      </c>
      <c r="F2" t="s">
        <v>109</v>
      </c>
      <c r="G2">
        <f>IF( B2 &lt; LARGE($B$2:$B$13,$D$2), NA(), B2 )</f>
        <v>7950300</v>
      </c>
      <c r="H2" t="e">
        <f>IF( B2 &lt; LARGE($B$2:$B$13,$D$2), B2, NA() )</f>
        <v>#N/A</v>
      </c>
    </row>
    <row r="3" spans="1:8" x14ac:dyDescent="0.25">
      <c r="A3" t="s">
        <v>110</v>
      </c>
      <c r="B3">
        <v>5206200</v>
      </c>
      <c r="F3" t="s">
        <v>110</v>
      </c>
      <c r="G3" t="e">
        <f t="shared" ref="G3:G13" si="0">IF( B3 &lt; LARGE($B$2:$B$13,$D$2), NA(), B3 )</f>
        <v>#N/A</v>
      </c>
      <c r="H3">
        <f t="shared" ref="H3:H13" si="1">IF( B3 &lt; LARGE($B$2:$B$13,$D$2), B3, NA() )</f>
        <v>5206200</v>
      </c>
    </row>
    <row r="4" spans="1:8" x14ac:dyDescent="0.25">
      <c r="A4" t="s">
        <v>111</v>
      </c>
      <c r="B4">
        <v>5201200</v>
      </c>
      <c r="F4" t="s">
        <v>111</v>
      </c>
      <c r="G4" t="e">
        <f t="shared" si="0"/>
        <v>#N/A</v>
      </c>
      <c r="H4">
        <f t="shared" si="1"/>
        <v>5201200</v>
      </c>
    </row>
    <row r="5" spans="1:8" x14ac:dyDescent="0.25">
      <c r="A5" t="s">
        <v>112</v>
      </c>
      <c r="B5">
        <v>9566800</v>
      </c>
      <c r="F5" t="s">
        <v>112</v>
      </c>
      <c r="G5">
        <f t="shared" si="0"/>
        <v>9566800</v>
      </c>
      <c r="H5" t="e">
        <f t="shared" si="1"/>
        <v>#N/A</v>
      </c>
    </row>
    <row r="6" spans="1:8" x14ac:dyDescent="0.25">
      <c r="A6" t="s">
        <v>113</v>
      </c>
      <c r="B6">
        <v>7686100</v>
      </c>
      <c r="F6" t="s">
        <v>113</v>
      </c>
      <c r="G6" t="e">
        <f t="shared" si="0"/>
        <v>#N/A</v>
      </c>
      <c r="H6">
        <f t="shared" si="1"/>
        <v>7686100</v>
      </c>
    </row>
    <row r="7" spans="1:8" x14ac:dyDescent="0.25">
      <c r="A7" t="s">
        <v>114</v>
      </c>
      <c r="B7">
        <v>7873500</v>
      </c>
      <c r="F7" t="s">
        <v>114</v>
      </c>
      <c r="G7" t="e">
        <f t="shared" si="0"/>
        <v>#N/A</v>
      </c>
      <c r="H7">
        <f t="shared" si="1"/>
        <v>7873500</v>
      </c>
    </row>
    <row r="8" spans="1:8" x14ac:dyDescent="0.25">
      <c r="A8" t="s">
        <v>115</v>
      </c>
      <c r="B8">
        <v>9999999</v>
      </c>
      <c r="F8" t="s">
        <v>115</v>
      </c>
      <c r="G8">
        <f t="shared" si="0"/>
        <v>9999999</v>
      </c>
      <c r="H8" t="e">
        <f t="shared" si="1"/>
        <v>#N/A</v>
      </c>
    </row>
    <row r="9" spans="1:8" x14ac:dyDescent="0.25">
      <c r="A9" t="s">
        <v>116</v>
      </c>
      <c r="B9">
        <v>8201100</v>
      </c>
      <c r="F9" t="s">
        <v>116</v>
      </c>
      <c r="G9">
        <f t="shared" si="0"/>
        <v>8201100</v>
      </c>
      <c r="H9" t="e">
        <f t="shared" si="1"/>
        <v>#N/A</v>
      </c>
    </row>
    <row r="10" spans="1:8" x14ac:dyDescent="0.25">
      <c r="A10" t="s">
        <v>117</v>
      </c>
      <c r="B10">
        <v>8464300</v>
      </c>
      <c r="F10" t="s">
        <v>117</v>
      </c>
      <c r="G10">
        <f t="shared" si="0"/>
        <v>8464300</v>
      </c>
      <c r="H10" t="e">
        <f t="shared" si="1"/>
        <v>#N/A</v>
      </c>
    </row>
    <row r="11" spans="1:8" x14ac:dyDescent="0.25">
      <c r="A11" t="s">
        <v>118</v>
      </c>
      <c r="B11">
        <v>5042500</v>
      </c>
      <c r="F11" t="s">
        <v>118</v>
      </c>
      <c r="G11" t="e">
        <f t="shared" si="0"/>
        <v>#N/A</v>
      </c>
      <c r="H11">
        <f t="shared" si="1"/>
        <v>5042500</v>
      </c>
    </row>
    <row r="12" spans="1:8" x14ac:dyDescent="0.25">
      <c r="A12" t="s">
        <v>119</v>
      </c>
      <c r="B12">
        <v>6993900</v>
      </c>
      <c r="F12" t="s">
        <v>119</v>
      </c>
      <c r="G12" t="e">
        <f t="shared" si="0"/>
        <v>#N/A</v>
      </c>
      <c r="H12">
        <f t="shared" si="1"/>
        <v>6993900</v>
      </c>
    </row>
    <row r="13" spans="1:8" x14ac:dyDescent="0.25">
      <c r="A13" t="s">
        <v>120</v>
      </c>
      <c r="B13">
        <v>9738100</v>
      </c>
      <c r="F13" t="s">
        <v>120</v>
      </c>
      <c r="G13">
        <f t="shared" si="0"/>
        <v>9738100</v>
      </c>
      <c r="H13" t="e">
        <f t="shared" si="1"/>
        <v>#N/A</v>
      </c>
    </row>
  </sheetData>
  <phoneticPr fontId="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Spinner 1">
              <controlPr defaultSize="0" autoPict="0">
                <anchor moveWithCells="1" sizeWithCells="1">
                  <from>
                    <xdr:col>2</xdr:col>
                    <xdr:colOff>238125</xdr:colOff>
                    <xdr:row>0</xdr:row>
                    <xdr:rowOff>161925</xdr:rowOff>
                  </from>
                  <to>
                    <xdr:col>2</xdr:col>
                    <xdr:colOff>590550</xdr:colOff>
                    <xdr:row>2</xdr:row>
                    <xdr:rowOff>66675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5A55-09BD-477C-BA75-709F64115A84}">
  <dimension ref="A1:C13"/>
  <sheetViews>
    <sheetView zoomScale="115" zoomScaleNormal="115" workbookViewId="0">
      <selection sqref="A1:C13"/>
    </sheetView>
  </sheetViews>
  <sheetFormatPr defaultRowHeight="15" x14ac:dyDescent="0.25"/>
  <sheetData>
    <row r="1" spans="1:3" x14ac:dyDescent="0.25">
      <c r="A1" s="1" t="s">
        <v>108</v>
      </c>
      <c r="B1" s="1" t="s">
        <v>97</v>
      </c>
      <c r="C1" s="1" t="s">
        <v>121</v>
      </c>
    </row>
    <row r="2" spans="1:3" x14ac:dyDescent="0.25">
      <c r="A2" t="s">
        <v>109</v>
      </c>
      <c r="B2">
        <v>630050</v>
      </c>
      <c r="C2">
        <v>724270</v>
      </c>
    </row>
    <row r="3" spans="1:3" x14ac:dyDescent="0.25">
      <c r="A3" t="s">
        <v>110</v>
      </c>
      <c r="B3">
        <v>724200</v>
      </c>
      <c r="C3">
        <v>533000</v>
      </c>
    </row>
    <row r="4" spans="1:3" x14ac:dyDescent="0.25">
      <c r="A4" t="s">
        <v>111</v>
      </c>
      <c r="B4">
        <v>313480</v>
      </c>
      <c r="C4">
        <v>430760</v>
      </c>
    </row>
    <row r="5" spans="1:3" x14ac:dyDescent="0.25">
      <c r="A5" t="s">
        <v>112</v>
      </c>
      <c r="B5">
        <v>227860</v>
      </c>
      <c r="C5">
        <v>329520</v>
      </c>
    </row>
    <row r="6" spans="1:3" x14ac:dyDescent="0.25">
      <c r="A6" t="s">
        <v>113</v>
      </c>
      <c r="B6">
        <v>658660</v>
      </c>
      <c r="C6">
        <v>550800</v>
      </c>
    </row>
    <row r="7" spans="1:3" x14ac:dyDescent="0.25">
      <c r="A7" t="s">
        <v>114</v>
      </c>
      <c r="B7">
        <v>383890</v>
      </c>
      <c r="C7">
        <v>450650</v>
      </c>
    </row>
    <row r="8" spans="1:3" x14ac:dyDescent="0.25">
      <c r="A8" t="s">
        <v>115</v>
      </c>
      <c r="B8">
        <v>245880</v>
      </c>
      <c r="C8">
        <v>560390</v>
      </c>
    </row>
    <row r="9" spans="1:3" x14ac:dyDescent="0.25">
      <c r="A9" t="s">
        <v>116</v>
      </c>
      <c r="B9">
        <v>517920</v>
      </c>
      <c r="C9">
        <v>537790</v>
      </c>
    </row>
    <row r="10" spans="1:3" x14ac:dyDescent="0.25">
      <c r="A10" t="s">
        <v>117</v>
      </c>
      <c r="B10">
        <v>718350</v>
      </c>
      <c r="C10">
        <v>297100</v>
      </c>
    </row>
    <row r="11" spans="1:3" x14ac:dyDescent="0.25">
      <c r="A11" t="s">
        <v>118</v>
      </c>
      <c r="B11">
        <v>496780</v>
      </c>
      <c r="C11">
        <v>707660</v>
      </c>
    </row>
    <row r="12" spans="1:3" x14ac:dyDescent="0.25">
      <c r="A12" t="s">
        <v>119</v>
      </c>
      <c r="B12">
        <v>402990</v>
      </c>
      <c r="C12">
        <v>727290</v>
      </c>
    </row>
    <row r="13" spans="1:3" x14ac:dyDescent="0.25">
      <c r="A13" t="s">
        <v>120</v>
      </c>
      <c r="B13">
        <v>285930</v>
      </c>
      <c r="C13">
        <v>629260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56BC-E959-44A0-9D9E-F4D052FAD798}">
  <dimension ref="A1:H13"/>
  <sheetViews>
    <sheetView zoomScale="115" zoomScaleNormal="115" workbookViewId="0">
      <selection activeCell="F1" sqref="F1:H12"/>
    </sheetView>
  </sheetViews>
  <sheetFormatPr defaultRowHeight="15" x14ac:dyDescent="0.25"/>
  <cols>
    <col min="1" max="1" width="11" customWidth="1"/>
    <col min="2" max="2" width="9.85546875" customWidth="1"/>
    <col min="3" max="3" width="11.42578125" customWidth="1"/>
    <col min="7" max="7" width="10.5703125" customWidth="1"/>
    <col min="8" max="8" width="13.7109375" customWidth="1"/>
  </cols>
  <sheetData>
    <row r="1" spans="1:8" x14ac:dyDescent="0.25">
      <c r="A1" s="1" t="s">
        <v>108</v>
      </c>
      <c r="B1" s="1" t="s">
        <v>97</v>
      </c>
      <c r="C1" s="1" t="s">
        <v>121</v>
      </c>
      <c r="F1" s="1" t="s">
        <v>108</v>
      </c>
      <c r="G1" s="1" t="s">
        <v>97</v>
      </c>
      <c r="H1" s="1" t="s">
        <v>121</v>
      </c>
    </row>
    <row r="2" spans="1:8" x14ac:dyDescent="0.25">
      <c r="A2" t="s">
        <v>109</v>
      </c>
      <c r="B2">
        <v>630050</v>
      </c>
      <c r="C2">
        <v>724270</v>
      </c>
      <c r="F2" t="s">
        <v>109</v>
      </c>
      <c r="G2">
        <v>630050</v>
      </c>
      <c r="H2">
        <v>724270</v>
      </c>
    </row>
    <row r="3" spans="1:8" x14ac:dyDescent="0.25">
      <c r="A3" t="s">
        <v>110</v>
      </c>
      <c r="B3">
        <v>724200</v>
      </c>
      <c r="C3">
        <v>533000</v>
      </c>
      <c r="F3" t="s">
        <v>110</v>
      </c>
      <c r="G3">
        <v>724200</v>
      </c>
      <c r="H3">
        <v>533000</v>
      </c>
    </row>
    <row r="4" spans="1:8" x14ac:dyDescent="0.25">
      <c r="A4" t="s">
        <v>111</v>
      </c>
      <c r="B4">
        <v>313480</v>
      </c>
      <c r="C4">
        <v>430760</v>
      </c>
      <c r="F4" t="s">
        <v>111</v>
      </c>
      <c r="G4">
        <v>313480</v>
      </c>
      <c r="H4">
        <v>430760</v>
      </c>
    </row>
    <row r="5" spans="1:8" x14ac:dyDescent="0.25">
      <c r="A5" t="s">
        <v>112</v>
      </c>
      <c r="B5">
        <v>227860</v>
      </c>
      <c r="C5">
        <v>329520</v>
      </c>
      <c r="F5" t="s">
        <v>112</v>
      </c>
      <c r="G5">
        <v>227860</v>
      </c>
      <c r="H5">
        <v>329520</v>
      </c>
    </row>
    <row r="6" spans="1:8" x14ac:dyDescent="0.25">
      <c r="A6" t="s">
        <v>113</v>
      </c>
      <c r="B6">
        <v>658660</v>
      </c>
      <c r="C6">
        <v>550800</v>
      </c>
      <c r="F6" t="s">
        <v>113</v>
      </c>
      <c r="G6">
        <v>658660</v>
      </c>
      <c r="H6">
        <v>550800</v>
      </c>
    </row>
    <row r="7" spans="1:8" x14ac:dyDescent="0.25">
      <c r="A7" t="s">
        <v>114</v>
      </c>
      <c r="B7">
        <v>383890</v>
      </c>
      <c r="C7">
        <v>450650</v>
      </c>
      <c r="F7" t="s">
        <v>114</v>
      </c>
      <c r="G7">
        <v>383890</v>
      </c>
      <c r="H7">
        <v>450650</v>
      </c>
    </row>
    <row r="8" spans="1:8" x14ac:dyDescent="0.25">
      <c r="A8" t="s">
        <v>115</v>
      </c>
      <c r="B8">
        <v>845880</v>
      </c>
      <c r="C8">
        <v>560390</v>
      </c>
      <c r="F8" t="s">
        <v>115</v>
      </c>
      <c r="G8">
        <v>245880</v>
      </c>
      <c r="H8">
        <v>560390</v>
      </c>
    </row>
    <row r="9" spans="1:8" x14ac:dyDescent="0.25">
      <c r="A9" t="s">
        <v>116</v>
      </c>
      <c r="B9">
        <v>517920</v>
      </c>
      <c r="C9">
        <v>537790</v>
      </c>
      <c r="F9" t="s">
        <v>116</v>
      </c>
      <c r="G9">
        <v>517920</v>
      </c>
      <c r="H9">
        <v>537790</v>
      </c>
    </row>
    <row r="10" spans="1:8" x14ac:dyDescent="0.25">
      <c r="A10" t="s">
        <v>117</v>
      </c>
      <c r="B10">
        <v>718350</v>
      </c>
      <c r="C10">
        <v>297100</v>
      </c>
      <c r="F10" t="s">
        <v>117</v>
      </c>
      <c r="G10">
        <v>718350</v>
      </c>
      <c r="H10">
        <v>297100</v>
      </c>
    </row>
    <row r="11" spans="1:8" x14ac:dyDescent="0.25">
      <c r="A11" t="s">
        <v>118</v>
      </c>
      <c r="B11">
        <v>496780</v>
      </c>
      <c r="C11">
        <v>707660</v>
      </c>
      <c r="F11" t="s">
        <v>118</v>
      </c>
      <c r="G11">
        <v>496780</v>
      </c>
      <c r="H11">
        <v>707660</v>
      </c>
    </row>
    <row r="12" spans="1:8" x14ac:dyDescent="0.25">
      <c r="A12" t="s">
        <v>119</v>
      </c>
      <c r="B12">
        <v>802990</v>
      </c>
      <c r="C12">
        <v>727290</v>
      </c>
      <c r="F12" t="s">
        <v>119</v>
      </c>
      <c r="G12">
        <v>402990</v>
      </c>
      <c r="H12">
        <v>727290</v>
      </c>
    </row>
    <row r="13" spans="1:8" x14ac:dyDescent="0.25">
      <c r="A13" t="s">
        <v>120</v>
      </c>
      <c r="B13">
        <v>285930</v>
      </c>
      <c r="C13">
        <v>629260</v>
      </c>
      <c r="F13" t="s">
        <v>120</v>
      </c>
      <c r="G13">
        <v>285930</v>
      </c>
      <c r="H13">
        <v>629260</v>
      </c>
    </row>
  </sheetData>
  <conditionalFormatting sqref="F2:H13">
    <cfRule type="expression" dxfId="6" priority="1">
      <formula>$H2&lt;$G2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7FE7-9245-4FEA-87CD-103D6E60C05C}">
  <dimension ref="A1:L16"/>
  <sheetViews>
    <sheetView topLeftCell="A2" zoomScale="130" zoomScaleNormal="130" workbookViewId="0">
      <selection activeCell="I9" sqref="I9"/>
    </sheetView>
  </sheetViews>
  <sheetFormatPr defaultRowHeight="15" x14ac:dyDescent="0.25"/>
  <sheetData>
    <row r="1" spans="1:12" x14ac:dyDescent="0.25">
      <c r="A1" s="1" t="s">
        <v>122</v>
      </c>
      <c r="B1" s="1" t="s">
        <v>40</v>
      </c>
    </row>
    <row r="2" spans="1:12" x14ac:dyDescent="0.25">
      <c r="A2" t="s">
        <v>123</v>
      </c>
      <c r="B2">
        <v>4</v>
      </c>
    </row>
    <row r="3" spans="1:12" x14ac:dyDescent="0.25">
      <c r="A3" t="s">
        <v>124</v>
      </c>
      <c r="B3">
        <v>92</v>
      </c>
      <c r="I3" t="s">
        <v>138</v>
      </c>
      <c r="J3" t="s">
        <v>138</v>
      </c>
      <c r="K3" t="b">
        <f>I3=J3</f>
        <v>1</v>
      </c>
      <c r="L3" t="b">
        <f>EXACT(I3,J3)</f>
        <v>1</v>
      </c>
    </row>
    <row r="4" spans="1:12" x14ac:dyDescent="0.25">
      <c r="A4" t="s">
        <v>125</v>
      </c>
      <c r="B4">
        <v>9</v>
      </c>
      <c r="I4" t="s">
        <v>139</v>
      </c>
      <c r="J4" t="s">
        <v>138</v>
      </c>
      <c r="K4" t="b">
        <f t="shared" ref="K4:K6" si="0">I4=J4</f>
        <v>1</v>
      </c>
      <c r="L4" t="b">
        <f t="shared" ref="L4:L6" si="1">EXACT(I4,J4)</f>
        <v>0</v>
      </c>
    </row>
    <row r="5" spans="1:12" x14ac:dyDescent="0.25">
      <c r="A5" t="s">
        <v>126</v>
      </c>
      <c r="B5">
        <v>82</v>
      </c>
      <c r="I5" t="s">
        <v>140</v>
      </c>
      <c r="J5" t="s">
        <v>138</v>
      </c>
      <c r="K5" t="b">
        <f t="shared" si="0"/>
        <v>1</v>
      </c>
      <c r="L5" t="b">
        <f t="shared" si="1"/>
        <v>0</v>
      </c>
    </row>
    <row r="6" spans="1:12" x14ac:dyDescent="0.25">
      <c r="A6" t="s">
        <v>127</v>
      </c>
      <c r="B6">
        <v>26</v>
      </c>
      <c r="I6" t="s">
        <v>140</v>
      </c>
      <c r="J6" t="s">
        <v>139</v>
      </c>
      <c r="K6" t="b">
        <f t="shared" si="0"/>
        <v>1</v>
      </c>
      <c r="L6" t="b">
        <f t="shared" si="1"/>
        <v>0</v>
      </c>
    </row>
    <row r="7" spans="1:12" x14ac:dyDescent="0.25">
      <c r="A7" t="s">
        <v>128</v>
      </c>
      <c r="B7">
        <v>22</v>
      </c>
    </row>
    <row r="8" spans="1:12" x14ac:dyDescent="0.25">
      <c r="A8" t="s">
        <v>129</v>
      </c>
      <c r="B8">
        <v>65</v>
      </c>
    </row>
    <row r="9" spans="1:12" x14ac:dyDescent="0.25">
      <c r="A9" t="s">
        <v>130</v>
      </c>
      <c r="B9">
        <v>43</v>
      </c>
    </row>
    <row r="10" spans="1:12" x14ac:dyDescent="0.25">
      <c r="A10" t="s">
        <v>131</v>
      </c>
      <c r="B10">
        <v>54</v>
      </c>
    </row>
    <row r="11" spans="1:12" x14ac:dyDescent="0.25">
      <c r="A11" t="s">
        <v>132</v>
      </c>
      <c r="B11">
        <v>81</v>
      </c>
    </row>
    <row r="12" spans="1:12" x14ac:dyDescent="0.25">
      <c r="A12" t="s">
        <v>133</v>
      </c>
      <c r="B12">
        <v>87</v>
      </c>
    </row>
    <row r="13" spans="1:12" x14ac:dyDescent="0.25">
      <c r="A13" t="s">
        <v>134</v>
      </c>
      <c r="B13">
        <v>87</v>
      </c>
    </row>
    <row r="14" spans="1:12" x14ac:dyDescent="0.25">
      <c r="A14" t="s">
        <v>135</v>
      </c>
      <c r="B14">
        <v>17</v>
      </c>
    </row>
    <row r="15" spans="1:12" x14ac:dyDescent="0.25">
      <c r="A15" t="s">
        <v>136</v>
      </c>
      <c r="B15">
        <v>94</v>
      </c>
    </row>
    <row r="16" spans="1:12" x14ac:dyDescent="0.25">
      <c r="A16" t="s">
        <v>137</v>
      </c>
      <c r="B16">
        <v>63</v>
      </c>
    </row>
  </sheetData>
  <phoneticPr fontId="2" type="noConversion"/>
  <conditionalFormatting sqref="A1:B16">
    <cfRule type="expression" dxfId="5" priority="1">
      <formula>$B1&lt;50</formula>
    </cfRule>
    <cfRule type="expression" dxfId="4" priority="2">
      <formula>AND($B1&gt;=50,$B1&lt;=80)</formula>
    </cfRule>
    <cfRule type="expression" dxfId="3" priority="3">
      <formula>$B1&gt;80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E3FB-1291-4FEC-905D-0AD1BB685956}">
  <dimension ref="A1:L15"/>
  <sheetViews>
    <sheetView workbookViewId="0">
      <selection activeCell="D7" sqref="A1:L15"/>
    </sheetView>
  </sheetViews>
  <sheetFormatPr defaultRowHeight="15" x14ac:dyDescent="0.25"/>
  <sheetData>
    <row r="1" spans="1:12" x14ac:dyDescent="0.25">
      <c r="A1">
        <v>47</v>
      </c>
      <c r="B1">
        <v>90</v>
      </c>
      <c r="C1">
        <v>53</v>
      </c>
      <c r="D1">
        <v>83</v>
      </c>
      <c r="E1">
        <v>82</v>
      </c>
      <c r="F1">
        <v>57</v>
      </c>
      <c r="G1">
        <v>100</v>
      </c>
      <c r="H1">
        <v>50</v>
      </c>
      <c r="I1">
        <v>58</v>
      </c>
      <c r="J1">
        <v>27</v>
      </c>
      <c r="K1">
        <v>92</v>
      </c>
      <c r="L1">
        <v>36</v>
      </c>
    </row>
    <row r="2" spans="1:12" x14ac:dyDescent="0.25">
      <c r="A2">
        <v>78</v>
      </c>
      <c r="B2">
        <v>23</v>
      </c>
      <c r="C2">
        <v>88</v>
      </c>
      <c r="D2">
        <v>100</v>
      </c>
      <c r="E2">
        <v>41</v>
      </c>
      <c r="F2">
        <v>79</v>
      </c>
      <c r="G2">
        <v>67</v>
      </c>
      <c r="H2">
        <v>24</v>
      </c>
      <c r="I2">
        <v>44</v>
      </c>
      <c r="J2">
        <v>9</v>
      </c>
      <c r="K2">
        <v>82</v>
      </c>
      <c r="L2">
        <v>83</v>
      </c>
    </row>
    <row r="3" spans="1:12" x14ac:dyDescent="0.25">
      <c r="A3">
        <v>24</v>
      </c>
      <c r="B3">
        <v>52</v>
      </c>
      <c r="C3">
        <v>65</v>
      </c>
      <c r="D3">
        <v>16</v>
      </c>
      <c r="E3">
        <v>93</v>
      </c>
      <c r="F3">
        <v>78</v>
      </c>
      <c r="G3">
        <v>60</v>
      </c>
      <c r="H3">
        <v>81</v>
      </c>
      <c r="I3">
        <v>66</v>
      </c>
      <c r="J3">
        <v>71</v>
      </c>
      <c r="K3">
        <v>46</v>
      </c>
      <c r="L3">
        <v>13</v>
      </c>
    </row>
    <row r="4" spans="1:12" x14ac:dyDescent="0.25">
      <c r="A4">
        <v>81</v>
      </c>
      <c r="B4">
        <v>69</v>
      </c>
      <c r="C4">
        <v>74</v>
      </c>
      <c r="D4">
        <v>34</v>
      </c>
      <c r="E4">
        <v>25</v>
      </c>
      <c r="F4">
        <v>65</v>
      </c>
      <c r="G4">
        <v>48</v>
      </c>
      <c r="H4">
        <v>34</v>
      </c>
      <c r="I4">
        <v>54</v>
      </c>
      <c r="J4">
        <v>31</v>
      </c>
      <c r="K4">
        <v>37</v>
      </c>
      <c r="L4">
        <v>94</v>
      </c>
    </row>
    <row r="5" spans="1:12" x14ac:dyDescent="0.25">
      <c r="A5">
        <v>61</v>
      </c>
      <c r="B5">
        <v>72</v>
      </c>
      <c r="C5">
        <v>1</v>
      </c>
      <c r="D5">
        <v>41</v>
      </c>
      <c r="E5">
        <v>46</v>
      </c>
      <c r="F5">
        <v>10</v>
      </c>
      <c r="G5">
        <v>63</v>
      </c>
      <c r="H5">
        <v>27</v>
      </c>
      <c r="I5">
        <v>42</v>
      </c>
      <c r="J5">
        <v>56</v>
      </c>
      <c r="K5">
        <v>33</v>
      </c>
      <c r="L5">
        <v>41</v>
      </c>
    </row>
    <row r="6" spans="1:12" x14ac:dyDescent="0.25">
      <c r="A6">
        <v>93</v>
      </c>
      <c r="B6">
        <v>66</v>
      </c>
      <c r="C6">
        <v>6</v>
      </c>
      <c r="D6">
        <v>43</v>
      </c>
      <c r="E6">
        <v>53</v>
      </c>
      <c r="F6">
        <v>25</v>
      </c>
      <c r="G6">
        <v>57</v>
      </c>
      <c r="H6">
        <v>76</v>
      </c>
      <c r="I6">
        <v>32</v>
      </c>
      <c r="J6">
        <v>34</v>
      </c>
      <c r="K6">
        <v>65</v>
      </c>
      <c r="L6">
        <v>47</v>
      </c>
    </row>
    <row r="7" spans="1:12" x14ac:dyDescent="0.25">
      <c r="A7">
        <v>74</v>
      </c>
      <c r="B7">
        <v>1</v>
      </c>
      <c r="C7">
        <v>26</v>
      </c>
      <c r="D7">
        <v>40</v>
      </c>
      <c r="F7">
        <v>13</v>
      </c>
      <c r="G7">
        <v>24</v>
      </c>
      <c r="H7">
        <v>19</v>
      </c>
      <c r="I7">
        <v>90</v>
      </c>
      <c r="J7">
        <v>22</v>
      </c>
      <c r="K7">
        <v>38</v>
      </c>
      <c r="L7">
        <v>69</v>
      </c>
    </row>
    <row r="8" spans="1:12" x14ac:dyDescent="0.25">
      <c r="A8">
        <v>39</v>
      </c>
      <c r="B8">
        <v>4</v>
      </c>
      <c r="C8">
        <v>2</v>
      </c>
      <c r="D8">
        <v>92</v>
      </c>
      <c r="E8">
        <v>99</v>
      </c>
      <c r="F8">
        <v>60</v>
      </c>
      <c r="G8">
        <v>46</v>
      </c>
      <c r="H8">
        <v>85</v>
      </c>
      <c r="I8">
        <v>44</v>
      </c>
      <c r="J8">
        <v>60</v>
      </c>
      <c r="K8">
        <v>56</v>
      </c>
      <c r="L8">
        <v>91</v>
      </c>
    </row>
    <row r="9" spans="1:12" x14ac:dyDescent="0.25">
      <c r="A9">
        <v>54</v>
      </c>
      <c r="B9">
        <v>7</v>
      </c>
      <c r="C9">
        <v>25</v>
      </c>
      <c r="D9">
        <v>8</v>
      </c>
      <c r="E9">
        <v>90</v>
      </c>
      <c r="F9">
        <v>94</v>
      </c>
      <c r="G9">
        <v>30</v>
      </c>
      <c r="H9">
        <v>59</v>
      </c>
      <c r="I9">
        <v>88</v>
      </c>
      <c r="J9">
        <v>43</v>
      </c>
      <c r="K9">
        <v>25</v>
      </c>
      <c r="L9">
        <v>51</v>
      </c>
    </row>
    <row r="10" spans="1:12" x14ac:dyDescent="0.25">
      <c r="A10">
        <v>9</v>
      </c>
      <c r="B10">
        <v>10</v>
      </c>
      <c r="D10">
        <v>5</v>
      </c>
      <c r="E10">
        <v>86</v>
      </c>
      <c r="F10">
        <v>6</v>
      </c>
      <c r="G10">
        <v>12</v>
      </c>
      <c r="H10">
        <v>91</v>
      </c>
      <c r="J10">
        <v>21</v>
      </c>
      <c r="K10">
        <v>7</v>
      </c>
      <c r="L10">
        <v>81</v>
      </c>
    </row>
    <row r="11" spans="1:12" x14ac:dyDescent="0.25">
      <c r="A11">
        <v>37</v>
      </c>
      <c r="B11">
        <v>8</v>
      </c>
      <c r="C11">
        <v>5</v>
      </c>
      <c r="D11">
        <v>95</v>
      </c>
      <c r="E11">
        <v>24</v>
      </c>
      <c r="F11">
        <v>67</v>
      </c>
      <c r="G11">
        <v>50</v>
      </c>
      <c r="H11">
        <v>19</v>
      </c>
      <c r="I11">
        <v>33</v>
      </c>
      <c r="J11">
        <v>14</v>
      </c>
      <c r="K11">
        <v>60</v>
      </c>
      <c r="L11">
        <v>58</v>
      </c>
    </row>
    <row r="12" spans="1:12" x14ac:dyDescent="0.25">
      <c r="A12">
        <v>43</v>
      </c>
      <c r="B12">
        <v>20</v>
      </c>
      <c r="C12">
        <v>36</v>
      </c>
      <c r="D12">
        <v>94</v>
      </c>
      <c r="E12">
        <v>90</v>
      </c>
      <c r="F12">
        <v>73</v>
      </c>
      <c r="G12">
        <v>11</v>
      </c>
      <c r="H12">
        <v>22</v>
      </c>
      <c r="I12">
        <v>21</v>
      </c>
      <c r="J12">
        <v>67</v>
      </c>
      <c r="K12">
        <v>70</v>
      </c>
      <c r="L12">
        <v>25</v>
      </c>
    </row>
    <row r="13" spans="1:12" x14ac:dyDescent="0.25">
      <c r="A13">
        <v>47</v>
      </c>
      <c r="B13">
        <v>9</v>
      </c>
      <c r="C13">
        <v>19</v>
      </c>
      <c r="D13">
        <v>33</v>
      </c>
      <c r="E13">
        <v>66</v>
      </c>
      <c r="F13">
        <v>84</v>
      </c>
      <c r="G13">
        <v>5</v>
      </c>
      <c r="H13">
        <v>99</v>
      </c>
      <c r="I13">
        <v>51</v>
      </c>
      <c r="J13">
        <v>39</v>
      </c>
      <c r="K13">
        <v>90</v>
      </c>
      <c r="L13">
        <v>90</v>
      </c>
    </row>
    <row r="14" spans="1:12" x14ac:dyDescent="0.25">
      <c r="A14">
        <v>73</v>
      </c>
      <c r="B14">
        <v>95</v>
      </c>
      <c r="C14">
        <v>10</v>
      </c>
      <c r="D14">
        <v>84</v>
      </c>
      <c r="E14">
        <v>76</v>
      </c>
      <c r="F14">
        <v>16</v>
      </c>
      <c r="G14">
        <v>75</v>
      </c>
      <c r="H14">
        <v>92</v>
      </c>
      <c r="I14">
        <v>23</v>
      </c>
      <c r="J14">
        <v>66</v>
      </c>
      <c r="K14">
        <v>33</v>
      </c>
      <c r="L14">
        <v>68</v>
      </c>
    </row>
    <row r="15" spans="1:12" x14ac:dyDescent="0.25">
      <c r="A15">
        <v>18</v>
      </c>
      <c r="B15">
        <v>18</v>
      </c>
      <c r="C15">
        <v>40</v>
      </c>
      <c r="D15">
        <v>30</v>
      </c>
      <c r="E15">
        <v>95</v>
      </c>
      <c r="F15">
        <v>82</v>
      </c>
      <c r="G15">
        <v>93</v>
      </c>
      <c r="H15">
        <v>55</v>
      </c>
      <c r="I15">
        <v>21</v>
      </c>
      <c r="J15">
        <v>24</v>
      </c>
      <c r="K15">
        <v>57</v>
      </c>
      <c r="L15">
        <v>24</v>
      </c>
    </row>
  </sheetData>
  <conditionalFormatting sqref="A1:L15">
    <cfRule type="expression" dxfId="2" priority="1">
      <formula>ISBLANK(A1)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FF0F-49BD-4A71-A0C6-A5281C6D5989}">
  <dimension ref="A1:L15"/>
  <sheetViews>
    <sheetView workbookViewId="0">
      <selection sqref="A1:L15"/>
    </sheetView>
  </sheetViews>
  <sheetFormatPr defaultRowHeight="15" x14ac:dyDescent="0.25"/>
  <sheetData>
    <row r="1" spans="1:12" x14ac:dyDescent="0.25">
      <c r="A1">
        <v>47</v>
      </c>
      <c r="B1">
        <v>90</v>
      </c>
      <c r="C1">
        <v>53</v>
      </c>
      <c r="D1">
        <v>83</v>
      </c>
      <c r="E1">
        <v>82</v>
      </c>
      <c r="F1">
        <v>57</v>
      </c>
      <c r="G1">
        <v>100</v>
      </c>
      <c r="H1">
        <v>50</v>
      </c>
      <c r="I1">
        <v>58</v>
      </c>
      <c r="J1">
        <v>27</v>
      </c>
      <c r="K1">
        <v>92</v>
      </c>
      <c r="L1">
        <v>36</v>
      </c>
    </row>
    <row r="2" spans="1:12" x14ac:dyDescent="0.25">
      <c r="A2">
        <v>78</v>
      </c>
      <c r="B2">
        <v>23</v>
      </c>
      <c r="C2">
        <v>88</v>
      </c>
      <c r="D2">
        <v>100</v>
      </c>
      <c r="E2">
        <v>41</v>
      </c>
      <c r="F2">
        <v>79</v>
      </c>
      <c r="G2">
        <v>67</v>
      </c>
      <c r="H2">
        <v>24</v>
      </c>
      <c r="I2">
        <v>44</v>
      </c>
      <c r="J2">
        <v>9</v>
      </c>
      <c r="K2">
        <v>82</v>
      </c>
      <c r="L2">
        <v>83</v>
      </c>
    </row>
    <row r="3" spans="1:12" x14ac:dyDescent="0.25">
      <c r="A3">
        <v>24</v>
      </c>
      <c r="B3">
        <v>52</v>
      </c>
      <c r="C3">
        <v>65</v>
      </c>
      <c r="D3">
        <v>16</v>
      </c>
      <c r="E3">
        <v>93</v>
      </c>
      <c r="F3">
        <v>78</v>
      </c>
      <c r="G3">
        <v>60</v>
      </c>
      <c r="H3">
        <v>81</v>
      </c>
      <c r="I3">
        <v>66</v>
      </c>
      <c r="J3">
        <v>71</v>
      </c>
      <c r="K3">
        <v>46</v>
      </c>
      <c r="L3">
        <v>13</v>
      </c>
    </row>
    <row r="4" spans="1:12" x14ac:dyDescent="0.25">
      <c r="A4">
        <v>81</v>
      </c>
      <c r="B4">
        <v>69</v>
      </c>
      <c r="C4">
        <v>74</v>
      </c>
      <c r="D4">
        <v>34</v>
      </c>
      <c r="E4">
        <v>25</v>
      </c>
      <c r="F4">
        <v>65</v>
      </c>
      <c r="G4">
        <v>48</v>
      </c>
      <c r="H4">
        <v>34</v>
      </c>
      <c r="I4">
        <v>54</v>
      </c>
      <c r="J4" t="s">
        <v>142</v>
      </c>
      <c r="K4">
        <v>37</v>
      </c>
      <c r="L4">
        <v>94</v>
      </c>
    </row>
    <row r="5" spans="1:12" x14ac:dyDescent="0.25">
      <c r="A5">
        <v>61</v>
      </c>
      <c r="B5">
        <v>72</v>
      </c>
      <c r="C5">
        <v>1</v>
      </c>
      <c r="D5">
        <v>41</v>
      </c>
      <c r="E5">
        <v>46</v>
      </c>
      <c r="F5">
        <v>10</v>
      </c>
      <c r="G5">
        <v>63</v>
      </c>
      <c r="H5">
        <v>27</v>
      </c>
      <c r="I5">
        <v>42</v>
      </c>
      <c r="J5">
        <v>56</v>
      </c>
      <c r="K5">
        <v>33</v>
      </c>
      <c r="L5">
        <v>41</v>
      </c>
    </row>
    <row r="6" spans="1:12" x14ac:dyDescent="0.25">
      <c r="A6">
        <v>93</v>
      </c>
      <c r="B6">
        <v>66</v>
      </c>
      <c r="C6">
        <v>6</v>
      </c>
      <c r="D6">
        <v>43</v>
      </c>
      <c r="E6">
        <v>53</v>
      </c>
      <c r="F6">
        <v>25</v>
      </c>
      <c r="G6">
        <v>57</v>
      </c>
      <c r="H6">
        <v>76</v>
      </c>
      <c r="I6">
        <v>32</v>
      </c>
      <c r="J6">
        <v>34</v>
      </c>
      <c r="K6">
        <v>65</v>
      </c>
      <c r="L6">
        <v>47</v>
      </c>
    </row>
    <row r="7" spans="1:12" x14ac:dyDescent="0.25">
      <c r="A7">
        <v>74</v>
      </c>
      <c r="B7">
        <v>1</v>
      </c>
      <c r="C7">
        <v>26</v>
      </c>
      <c r="D7">
        <v>40</v>
      </c>
      <c r="E7">
        <v>62</v>
      </c>
      <c r="F7">
        <v>13</v>
      </c>
      <c r="G7">
        <v>24</v>
      </c>
      <c r="H7">
        <v>19</v>
      </c>
      <c r="I7">
        <v>90</v>
      </c>
      <c r="J7">
        <v>22</v>
      </c>
      <c r="K7">
        <v>38</v>
      </c>
      <c r="L7">
        <v>69</v>
      </c>
    </row>
    <row r="8" spans="1:12" x14ac:dyDescent="0.25">
      <c r="A8">
        <v>39</v>
      </c>
      <c r="B8">
        <v>4</v>
      </c>
      <c r="C8">
        <v>2</v>
      </c>
      <c r="D8">
        <v>92</v>
      </c>
      <c r="E8">
        <v>99</v>
      </c>
      <c r="F8" t="s">
        <v>141</v>
      </c>
      <c r="G8">
        <v>46</v>
      </c>
      <c r="H8">
        <v>85</v>
      </c>
      <c r="I8">
        <v>44</v>
      </c>
      <c r="J8">
        <v>60</v>
      </c>
      <c r="K8">
        <v>56</v>
      </c>
      <c r="L8">
        <v>91</v>
      </c>
    </row>
    <row r="9" spans="1:12" x14ac:dyDescent="0.25">
      <c r="A9">
        <v>54</v>
      </c>
      <c r="B9">
        <v>7</v>
      </c>
      <c r="C9">
        <v>25</v>
      </c>
      <c r="D9">
        <v>8</v>
      </c>
      <c r="E9">
        <v>90</v>
      </c>
      <c r="F9">
        <v>94</v>
      </c>
      <c r="G9">
        <v>30</v>
      </c>
      <c r="H9">
        <v>59</v>
      </c>
      <c r="I9">
        <v>88</v>
      </c>
      <c r="J9">
        <v>43</v>
      </c>
      <c r="K9">
        <v>25</v>
      </c>
      <c r="L9">
        <v>51</v>
      </c>
    </row>
    <row r="10" spans="1:12" x14ac:dyDescent="0.25">
      <c r="A10">
        <v>9</v>
      </c>
      <c r="B10">
        <v>10</v>
      </c>
      <c r="C10">
        <v>56</v>
      </c>
      <c r="D10">
        <v>5</v>
      </c>
      <c r="E10">
        <v>86</v>
      </c>
      <c r="F10">
        <v>6</v>
      </c>
      <c r="G10">
        <v>12</v>
      </c>
      <c r="H10">
        <v>91</v>
      </c>
      <c r="I10">
        <v>83</v>
      </c>
      <c r="J10">
        <v>21</v>
      </c>
      <c r="K10">
        <v>7</v>
      </c>
      <c r="L10">
        <v>81</v>
      </c>
    </row>
    <row r="11" spans="1:12" x14ac:dyDescent="0.25">
      <c r="A11">
        <v>37</v>
      </c>
      <c r="B11">
        <v>8</v>
      </c>
      <c r="C11">
        <v>5</v>
      </c>
      <c r="D11">
        <v>95</v>
      </c>
      <c r="E11">
        <v>24</v>
      </c>
      <c r="F11">
        <v>67</v>
      </c>
      <c r="G11">
        <v>50</v>
      </c>
      <c r="H11">
        <v>19</v>
      </c>
      <c r="I11">
        <v>33</v>
      </c>
      <c r="J11">
        <v>14</v>
      </c>
      <c r="K11">
        <v>60</v>
      </c>
      <c r="L11">
        <v>58</v>
      </c>
    </row>
    <row r="12" spans="1:12" x14ac:dyDescent="0.25">
      <c r="A12">
        <v>43</v>
      </c>
      <c r="B12">
        <v>20</v>
      </c>
      <c r="C12">
        <v>36</v>
      </c>
      <c r="D12">
        <v>94</v>
      </c>
      <c r="E12">
        <v>90</v>
      </c>
      <c r="F12">
        <v>73</v>
      </c>
      <c r="G12">
        <v>11</v>
      </c>
      <c r="H12">
        <v>22</v>
      </c>
      <c r="I12">
        <v>21</v>
      </c>
      <c r="J12">
        <v>67</v>
      </c>
      <c r="K12">
        <v>70</v>
      </c>
      <c r="L12">
        <v>25</v>
      </c>
    </row>
    <row r="13" spans="1:12" x14ac:dyDescent="0.25">
      <c r="A13">
        <v>47</v>
      </c>
      <c r="B13" t="s">
        <v>143</v>
      </c>
      <c r="C13">
        <v>19</v>
      </c>
      <c r="D13">
        <v>33</v>
      </c>
      <c r="E13">
        <v>66</v>
      </c>
      <c r="F13">
        <v>84</v>
      </c>
      <c r="G13">
        <v>5</v>
      </c>
      <c r="H13">
        <v>99</v>
      </c>
      <c r="I13">
        <v>51</v>
      </c>
      <c r="J13">
        <v>39</v>
      </c>
      <c r="K13">
        <v>90</v>
      </c>
      <c r="L13">
        <v>90</v>
      </c>
    </row>
    <row r="14" spans="1:12" x14ac:dyDescent="0.25">
      <c r="A14">
        <v>73</v>
      </c>
      <c r="B14">
        <v>95</v>
      </c>
      <c r="C14">
        <v>10</v>
      </c>
      <c r="D14">
        <v>84</v>
      </c>
      <c r="E14">
        <v>76</v>
      </c>
      <c r="F14">
        <v>16</v>
      </c>
      <c r="G14">
        <v>75</v>
      </c>
      <c r="H14">
        <v>92</v>
      </c>
      <c r="I14">
        <v>23</v>
      </c>
      <c r="J14">
        <v>66</v>
      </c>
      <c r="K14">
        <v>33</v>
      </c>
      <c r="L14">
        <v>68</v>
      </c>
    </row>
    <row r="15" spans="1:12" x14ac:dyDescent="0.25">
      <c r="A15">
        <v>18</v>
      </c>
      <c r="B15">
        <v>18</v>
      </c>
      <c r="C15">
        <v>40</v>
      </c>
      <c r="D15">
        <v>30</v>
      </c>
      <c r="E15">
        <v>95</v>
      </c>
      <c r="F15">
        <v>82</v>
      </c>
      <c r="G15">
        <v>93</v>
      </c>
      <c r="H15">
        <v>55</v>
      </c>
      <c r="I15">
        <v>21</v>
      </c>
      <c r="J15">
        <v>24</v>
      </c>
      <c r="K15">
        <v>57</v>
      </c>
      <c r="L15">
        <v>24</v>
      </c>
    </row>
  </sheetData>
  <conditionalFormatting sqref="A1:L15">
    <cfRule type="expression" dxfId="1" priority="1">
      <formula>ISTEXT(A1)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4DC8-9FB1-4D20-ABBB-8C8714AE0E38}">
  <dimension ref="A1:A54"/>
  <sheetViews>
    <sheetView zoomScale="130" zoomScaleNormal="130" workbookViewId="0">
      <selection activeCell="A2" sqref="A2"/>
    </sheetView>
  </sheetViews>
  <sheetFormatPr defaultRowHeight="15" x14ac:dyDescent="0.25"/>
  <cols>
    <col min="1" max="1" width="11.140625" bestFit="1" customWidth="1"/>
  </cols>
  <sheetData>
    <row r="1" spans="1:1" x14ac:dyDescent="0.25">
      <c r="A1" s="1" t="s">
        <v>144</v>
      </c>
    </row>
    <row r="2" spans="1:1" x14ac:dyDescent="0.25">
      <c r="A2" s="12">
        <v>46023</v>
      </c>
    </row>
    <row r="3" spans="1:1" x14ac:dyDescent="0.25">
      <c r="A3" s="12">
        <v>46030</v>
      </c>
    </row>
    <row r="4" spans="1:1" x14ac:dyDescent="0.25">
      <c r="A4" s="12">
        <v>46037</v>
      </c>
    </row>
    <row r="5" spans="1:1" x14ac:dyDescent="0.25">
      <c r="A5" s="12">
        <v>46044</v>
      </c>
    </row>
    <row r="6" spans="1:1" x14ac:dyDescent="0.25">
      <c r="A6" s="12">
        <v>46051</v>
      </c>
    </row>
    <row r="7" spans="1:1" x14ac:dyDescent="0.25">
      <c r="A7" s="12">
        <v>46058</v>
      </c>
    </row>
    <row r="8" spans="1:1" x14ac:dyDescent="0.25">
      <c r="A8" s="12">
        <v>46065</v>
      </c>
    </row>
    <row r="9" spans="1:1" x14ac:dyDescent="0.25">
      <c r="A9" s="12">
        <v>46072</v>
      </c>
    </row>
    <row r="10" spans="1:1" x14ac:dyDescent="0.25">
      <c r="A10" s="12">
        <v>46079</v>
      </c>
    </row>
    <row r="11" spans="1:1" x14ac:dyDescent="0.25">
      <c r="A11" s="12">
        <v>46086</v>
      </c>
    </row>
    <row r="12" spans="1:1" x14ac:dyDescent="0.25">
      <c r="A12" s="12">
        <v>46093</v>
      </c>
    </row>
    <row r="13" spans="1:1" x14ac:dyDescent="0.25">
      <c r="A13" s="12">
        <v>46100</v>
      </c>
    </row>
    <row r="14" spans="1:1" x14ac:dyDescent="0.25">
      <c r="A14" s="12">
        <v>46107</v>
      </c>
    </row>
    <row r="15" spans="1:1" x14ac:dyDescent="0.25">
      <c r="A15" s="12">
        <v>46114</v>
      </c>
    </row>
    <row r="16" spans="1:1" x14ac:dyDescent="0.25">
      <c r="A16" s="12">
        <v>46121</v>
      </c>
    </row>
    <row r="17" spans="1:1" x14ac:dyDescent="0.25">
      <c r="A17" s="12">
        <v>46128</v>
      </c>
    </row>
    <row r="18" spans="1:1" x14ac:dyDescent="0.25">
      <c r="A18" s="12">
        <v>46135</v>
      </c>
    </row>
    <row r="19" spans="1:1" x14ac:dyDescent="0.25">
      <c r="A19" s="12">
        <v>46142</v>
      </c>
    </row>
    <row r="20" spans="1:1" x14ac:dyDescent="0.25">
      <c r="A20" s="12">
        <v>46149</v>
      </c>
    </row>
    <row r="21" spans="1:1" x14ac:dyDescent="0.25">
      <c r="A21" s="12">
        <v>46156</v>
      </c>
    </row>
    <row r="22" spans="1:1" x14ac:dyDescent="0.25">
      <c r="A22" s="12">
        <v>46163</v>
      </c>
    </row>
    <row r="23" spans="1:1" x14ac:dyDescent="0.25">
      <c r="A23" s="12">
        <v>46170</v>
      </c>
    </row>
    <row r="24" spans="1:1" x14ac:dyDescent="0.25">
      <c r="A24" s="12">
        <v>46177</v>
      </c>
    </row>
    <row r="25" spans="1:1" x14ac:dyDescent="0.25">
      <c r="A25" s="12">
        <v>46184</v>
      </c>
    </row>
    <row r="26" spans="1:1" x14ac:dyDescent="0.25">
      <c r="A26" s="12">
        <v>46191</v>
      </c>
    </row>
    <row r="27" spans="1:1" x14ac:dyDescent="0.25">
      <c r="A27" s="12">
        <v>46198</v>
      </c>
    </row>
    <row r="28" spans="1:1" x14ac:dyDescent="0.25">
      <c r="A28" s="12">
        <v>46205</v>
      </c>
    </row>
    <row r="29" spans="1:1" x14ac:dyDescent="0.25">
      <c r="A29" s="12">
        <v>46212</v>
      </c>
    </row>
    <row r="30" spans="1:1" x14ac:dyDescent="0.25">
      <c r="A30" s="12">
        <v>46219</v>
      </c>
    </row>
    <row r="31" spans="1:1" x14ac:dyDescent="0.25">
      <c r="A31" s="12">
        <v>46226</v>
      </c>
    </row>
    <row r="32" spans="1:1" x14ac:dyDescent="0.25">
      <c r="A32" s="12">
        <v>46233</v>
      </c>
    </row>
    <row r="33" spans="1:1" x14ac:dyDescent="0.25">
      <c r="A33" s="12">
        <v>46240</v>
      </c>
    </row>
    <row r="34" spans="1:1" x14ac:dyDescent="0.25">
      <c r="A34" s="12">
        <v>46247</v>
      </c>
    </row>
    <row r="35" spans="1:1" x14ac:dyDescent="0.25">
      <c r="A35" s="12">
        <v>46254</v>
      </c>
    </row>
    <row r="36" spans="1:1" x14ac:dyDescent="0.25">
      <c r="A36" s="12">
        <v>46261</v>
      </c>
    </row>
    <row r="37" spans="1:1" x14ac:dyDescent="0.25">
      <c r="A37" s="12">
        <v>46268</v>
      </c>
    </row>
    <row r="38" spans="1:1" x14ac:dyDescent="0.25">
      <c r="A38" s="12">
        <v>46275</v>
      </c>
    </row>
    <row r="39" spans="1:1" x14ac:dyDescent="0.25">
      <c r="A39" s="12">
        <v>46282</v>
      </c>
    </row>
    <row r="40" spans="1:1" x14ac:dyDescent="0.25">
      <c r="A40" s="12">
        <v>46289</v>
      </c>
    </row>
    <row r="41" spans="1:1" x14ac:dyDescent="0.25">
      <c r="A41" s="12">
        <v>46296</v>
      </c>
    </row>
    <row r="42" spans="1:1" x14ac:dyDescent="0.25">
      <c r="A42" s="12">
        <v>46303</v>
      </c>
    </row>
    <row r="43" spans="1:1" x14ac:dyDescent="0.25">
      <c r="A43" s="12">
        <v>46310</v>
      </c>
    </row>
    <row r="44" spans="1:1" x14ac:dyDescent="0.25">
      <c r="A44" s="12">
        <v>46317</v>
      </c>
    </row>
    <row r="45" spans="1:1" x14ac:dyDescent="0.25">
      <c r="A45" s="12">
        <v>46324</v>
      </c>
    </row>
    <row r="46" spans="1:1" x14ac:dyDescent="0.25">
      <c r="A46" s="12">
        <v>46331</v>
      </c>
    </row>
    <row r="47" spans="1:1" x14ac:dyDescent="0.25">
      <c r="A47" s="12">
        <v>46338</v>
      </c>
    </row>
    <row r="48" spans="1:1" x14ac:dyDescent="0.25">
      <c r="A48" s="12">
        <v>46345</v>
      </c>
    </row>
    <row r="49" spans="1:1" x14ac:dyDescent="0.25">
      <c r="A49" s="12">
        <v>46352</v>
      </c>
    </row>
    <row r="50" spans="1:1" x14ac:dyDescent="0.25">
      <c r="A50" s="12">
        <v>46359</v>
      </c>
    </row>
    <row r="51" spans="1:1" x14ac:dyDescent="0.25">
      <c r="A51" s="12">
        <v>46366</v>
      </c>
    </row>
    <row r="52" spans="1:1" x14ac:dyDescent="0.25">
      <c r="A52" s="12">
        <v>46373</v>
      </c>
    </row>
    <row r="53" spans="1:1" x14ac:dyDescent="0.25">
      <c r="A53" s="12">
        <v>46380</v>
      </c>
    </row>
    <row r="54" spans="1:1" x14ac:dyDescent="0.25">
      <c r="A54" s="12">
        <v>46387</v>
      </c>
    </row>
  </sheetData>
  <conditionalFormatting sqref="A2:A54">
    <cfRule type="expression" dxfId="0" priority="1">
      <formula>A2&gt;TODAY()</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2B0B-E6FA-4DA6-AF29-EC43CB0419A2}">
  <dimension ref="A1:M16"/>
  <sheetViews>
    <sheetView workbookViewId="0">
      <selection sqref="A1:M16"/>
    </sheetView>
  </sheetViews>
  <sheetFormatPr defaultRowHeight="15" x14ac:dyDescent="0.25"/>
  <sheetData>
    <row r="1" spans="1:13" x14ac:dyDescent="0.25">
      <c r="A1">
        <v>81</v>
      </c>
      <c r="B1">
        <v>79</v>
      </c>
      <c r="C1">
        <v>27</v>
      </c>
      <c r="D1">
        <v>84</v>
      </c>
      <c r="E1">
        <v>67</v>
      </c>
      <c r="F1">
        <v>70</v>
      </c>
      <c r="G1">
        <v>22</v>
      </c>
      <c r="H1">
        <v>83</v>
      </c>
      <c r="I1">
        <v>53</v>
      </c>
      <c r="J1">
        <v>82</v>
      </c>
      <c r="K1">
        <v>56</v>
      </c>
      <c r="L1">
        <v>20</v>
      </c>
      <c r="M1">
        <v>38</v>
      </c>
    </row>
    <row r="2" spans="1:13" x14ac:dyDescent="0.25">
      <c r="A2">
        <v>9</v>
      </c>
      <c r="B2">
        <v>51</v>
      </c>
      <c r="C2">
        <v>82</v>
      </c>
      <c r="D2">
        <v>74</v>
      </c>
      <c r="E2">
        <v>15</v>
      </c>
      <c r="F2">
        <v>99</v>
      </c>
      <c r="G2">
        <v>47</v>
      </c>
      <c r="H2">
        <v>86</v>
      </c>
      <c r="I2">
        <v>27</v>
      </c>
      <c r="J2">
        <v>57</v>
      </c>
      <c r="K2">
        <v>3</v>
      </c>
      <c r="L2">
        <v>65</v>
      </c>
      <c r="M2">
        <v>77</v>
      </c>
    </row>
    <row r="3" spans="1:13" x14ac:dyDescent="0.25">
      <c r="A3">
        <v>88</v>
      </c>
      <c r="B3">
        <v>74</v>
      </c>
      <c r="C3">
        <v>4</v>
      </c>
      <c r="D3">
        <v>47</v>
      </c>
      <c r="E3">
        <v>68</v>
      </c>
      <c r="F3">
        <v>39</v>
      </c>
      <c r="G3">
        <v>68</v>
      </c>
      <c r="H3">
        <v>54</v>
      </c>
      <c r="I3">
        <v>92</v>
      </c>
      <c r="J3">
        <v>44</v>
      </c>
      <c r="K3">
        <v>10</v>
      </c>
      <c r="L3">
        <v>84</v>
      </c>
      <c r="M3">
        <v>27</v>
      </c>
    </row>
    <row r="4" spans="1:13" x14ac:dyDescent="0.25">
      <c r="A4">
        <v>18</v>
      </c>
      <c r="B4">
        <v>91</v>
      </c>
      <c r="C4">
        <v>26</v>
      </c>
      <c r="D4">
        <v>69</v>
      </c>
      <c r="E4">
        <v>18</v>
      </c>
      <c r="F4">
        <v>83</v>
      </c>
      <c r="G4">
        <v>27</v>
      </c>
      <c r="H4">
        <v>39</v>
      </c>
      <c r="I4">
        <v>68</v>
      </c>
      <c r="J4">
        <v>47</v>
      </c>
      <c r="K4">
        <v>50</v>
      </c>
      <c r="L4">
        <v>66</v>
      </c>
      <c r="M4">
        <v>41</v>
      </c>
    </row>
    <row r="5" spans="1:13" x14ac:dyDescent="0.25">
      <c r="A5">
        <v>97</v>
      </c>
      <c r="B5">
        <v>95</v>
      </c>
      <c r="C5">
        <v>37</v>
      </c>
      <c r="D5">
        <v>64</v>
      </c>
      <c r="E5">
        <v>42</v>
      </c>
      <c r="F5">
        <v>6</v>
      </c>
      <c r="G5">
        <v>89</v>
      </c>
      <c r="H5">
        <v>39</v>
      </c>
      <c r="I5">
        <v>45</v>
      </c>
      <c r="J5">
        <v>8</v>
      </c>
      <c r="K5">
        <v>4</v>
      </c>
      <c r="L5">
        <v>24</v>
      </c>
      <c r="M5">
        <v>59</v>
      </c>
    </row>
    <row r="6" spans="1:13" x14ac:dyDescent="0.25">
      <c r="A6">
        <v>66</v>
      </c>
      <c r="B6">
        <v>93</v>
      </c>
      <c r="C6">
        <v>55</v>
      </c>
      <c r="D6">
        <v>29</v>
      </c>
      <c r="E6">
        <v>66</v>
      </c>
      <c r="F6">
        <v>83</v>
      </c>
      <c r="G6">
        <v>86</v>
      </c>
      <c r="H6">
        <v>74</v>
      </c>
      <c r="I6">
        <v>39</v>
      </c>
      <c r="J6">
        <v>100</v>
      </c>
      <c r="K6">
        <v>7</v>
      </c>
      <c r="L6">
        <v>97</v>
      </c>
      <c r="M6">
        <v>23</v>
      </c>
    </row>
    <row r="7" spans="1:13" x14ac:dyDescent="0.25">
      <c r="A7">
        <v>38</v>
      </c>
      <c r="B7">
        <v>4</v>
      </c>
      <c r="C7">
        <v>75</v>
      </c>
      <c r="D7">
        <v>17</v>
      </c>
      <c r="E7">
        <v>42</v>
      </c>
      <c r="F7">
        <v>26</v>
      </c>
      <c r="G7">
        <v>90</v>
      </c>
      <c r="H7">
        <v>43</v>
      </c>
      <c r="I7">
        <v>96</v>
      </c>
      <c r="J7">
        <v>24</v>
      </c>
      <c r="K7">
        <v>71</v>
      </c>
      <c r="L7">
        <v>94</v>
      </c>
      <c r="M7">
        <v>73</v>
      </c>
    </row>
    <row r="8" spans="1:13" x14ac:dyDescent="0.25">
      <c r="A8">
        <v>61</v>
      </c>
      <c r="B8">
        <v>57</v>
      </c>
      <c r="C8">
        <v>30</v>
      </c>
      <c r="D8">
        <v>69</v>
      </c>
      <c r="E8">
        <v>63</v>
      </c>
      <c r="F8">
        <v>5</v>
      </c>
      <c r="G8">
        <v>91</v>
      </c>
      <c r="H8">
        <v>30</v>
      </c>
      <c r="I8">
        <v>32</v>
      </c>
      <c r="J8">
        <v>69</v>
      </c>
      <c r="K8">
        <v>62</v>
      </c>
      <c r="L8">
        <v>24</v>
      </c>
      <c r="M8">
        <v>68</v>
      </c>
    </row>
    <row r="9" spans="1:13" x14ac:dyDescent="0.25">
      <c r="A9">
        <v>77</v>
      </c>
      <c r="B9">
        <v>41</v>
      </c>
      <c r="C9">
        <v>39</v>
      </c>
      <c r="D9">
        <v>43</v>
      </c>
      <c r="E9">
        <v>70</v>
      </c>
      <c r="F9">
        <v>53</v>
      </c>
      <c r="G9">
        <v>41</v>
      </c>
      <c r="H9">
        <v>44</v>
      </c>
      <c r="I9">
        <v>43</v>
      </c>
      <c r="J9">
        <v>20</v>
      </c>
      <c r="K9">
        <v>39</v>
      </c>
      <c r="L9">
        <v>4</v>
      </c>
      <c r="M9">
        <v>57</v>
      </c>
    </row>
    <row r="10" spans="1:13" x14ac:dyDescent="0.25">
      <c r="A10">
        <v>38</v>
      </c>
      <c r="B10">
        <v>16</v>
      </c>
      <c r="C10">
        <v>66</v>
      </c>
      <c r="D10">
        <v>56</v>
      </c>
      <c r="E10">
        <v>24</v>
      </c>
      <c r="F10">
        <v>74</v>
      </c>
      <c r="G10">
        <v>40</v>
      </c>
      <c r="H10">
        <v>34</v>
      </c>
      <c r="I10">
        <v>3</v>
      </c>
      <c r="J10">
        <v>40</v>
      </c>
      <c r="K10">
        <v>50</v>
      </c>
      <c r="L10">
        <v>76</v>
      </c>
      <c r="M10">
        <v>84</v>
      </c>
    </row>
    <row r="11" spans="1:13" x14ac:dyDescent="0.25">
      <c r="A11">
        <v>19</v>
      </c>
      <c r="B11">
        <v>15</v>
      </c>
      <c r="C11">
        <v>99</v>
      </c>
      <c r="D11">
        <v>95</v>
      </c>
      <c r="E11">
        <v>34</v>
      </c>
      <c r="F11">
        <v>91</v>
      </c>
      <c r="G11">
        <v>34</v>
      </c>
      <c r="H11">
        <v>56</v>
      </c>
      <c r="I11">
        <v>27</v>
      </c>
      <c r="J11">
        <v>50</v>
      </c>
      <c r="K11">
        <v>10</v>
      </c>
      <c r="L11">
        <v>26</v>
      </c>
      <c r="M11">
        <v>84</v>
      </c>
    </row>
    <row r="12" spans="1:13" x14ac:dyDescent="0.25">
      <c r="A12">
        <v>52</v>
      </c>
      <c r="B12">
        <v>95</v>
      </c>
      <c r="C12">
        <v>86</v>
      </c>
      <c r="D12">
        <v>36</v>
      </c>
      <c r="E12">
        <v>75</v>
      </c>
      <c r="F12">
        <v>74</v>
      </c>
      <c r="G12">
        <v>29</v>
      </c>
      <c r="H12">
        <v>75</v>
      </c>
      <c r="I12">
        <v>17</v>
      </c>
      <c r="J12">
        <v>13</v>
      </c>
      <c r="K12">
        <v>19</v>
      </c>
      <c r="L12">
        <v>40</v>
      </c>
      <c r="M12">
        <v>24</v>
      </c>
    </row>
    <row r="13" spans="1:13" x14ac:dyDescent="0.25">
      <c r="A13">
        <v>20</v>
      </c>
      <c r="B13">
        <v>8</v>
      </c>
      <c r="C13">
        <v>21</v>
      </c>
      <c r="D13">
        <v>67</v>
      </c>
      <c r="E13">
        <v>51</v>
      </c>
      <c r="F13">
        <v>40</v>
      </c>
      <c r="G13">
        <v>29</v>
      </c>
      <c r="H13">
        <v>2</v>
      </c>
      <c r="I13">
        <v>82</v>
      </c>
      <c r="J13">
        <v>26</v>
      </c>
      <c r="K13">
        <v>55</v>
      </c>
      <c r="L13">
        <v>36</v>
      </c>
      <c r="M13">
        <v>88</v>
      </c>
    </row>
    <row r="14" spans="1:13" x14ac:dyDescent="0.25">
      <c r="A14">
        <v>68</v>
      </c>
      <c r="B14">
        <v>4</v>
      </c>
      <c r="C14">
        <v>62</v>
      </c>
      <c r="D14">
        <v>52</v>
      </c>
      <c r="E14">
        <v>13</v>
      </c>
      <c r="F14">
        <v>23</v>
      </c>
      <c r="G14">
        <v>27</v>
      </c>
      <c r="H14">
        <v>11</v>
      </c>
      <c r="I14">
        <v>48</v>
      </c>
      <c r="J14">
        <v>63</v>
      </c>
      <c r="K14">
        <v>45</v>
      </c>
      <c r="L14">
        <v>58</v>
      </c>
      <c r="M14">
        <v>99</v>
      </c>
    </row>
    <row r="15" spans="1:13" x14ac:dyDescent="0.25">
      <c r="A15">
        <v>43</v>
      </c>
      <c r="B15">
        <v>14</v>
      </c>
      <c r="C15">
        <v>28</v>
      </c>
      <c r="D15">
        <v>24</v>
      </c>
      <c r="E15">
        <v>96</v>
      </c>
      <c r="F15">
        <v>28</v>
      </c>
      <c r="G15">
        <v>67</v>
      </c>
      <c r="H15">
        <v>8</v>
      </c>
      <c r="I15">
        <v>12</v>
      </c>
      <c r="J15">
        <v>93</v>
      </c>
      <c r="K15">
        <v>71</v>
      </c>
      <c r="L15">
        <v>79</v>
      </c>
      <c r="M15">
        <v>28</v>
      </c>
    </row>
    <row r="16" spans="1:13" x14ac:dyDescent="0.25">
      <c r="A16">
        <v>5</v>
      </c>
      <c r="B16">
        <v>3</v>
      </c>
      <c r="C16">
        <v>8</v>
      </c>
      <c r="D16">
        <v>63</v>
      </c>
      <c r="E16">
        <v>62</v>
      </c>
      <c r="F16">
        <v>100</v>
      </c>
      <c r="G16">
        <v>24</v>
      </c>
      <c r="H16">
        <v>47</v>
      </c>
      <c r="I16">
        <v>89</v>
      </c>
      <c r="J16">
        <v>72</v>
      </c>
      <c r="K16">
        <v>100</v>
      </c>
      <c r="L16">
        <v>42</v>
      </c>
      <c r="M16">
        <v>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128F-D65F-4AEC-B11C-7F0B8EE2536C}">
  <dimension ref="A1:G13"/>
  <sheetViews>
    <sheetView zoomScale="130" zoomScaleNormal="130" workbookViewId="0">
      <selection activeCell="G6" sqref="G6"/>
    </sheetView>
  </sheetViews>
  <sheetFormatPr defaultRowHeight="15" x14ac:dyDescent="0.25"/>
  <cols>
    <col min="2" max="2" width="10.7109375" bestFit="1" customWidth="1"/>
  </cols>
  <sheetData>
    <row r="1" spans="1:7" x14ac:dyDescent="0.25">
      <c r="A1" s="1" t="s">
        <v>0</v>
      </c>
      <c r="B1" s="1" t="s">
        <v>145</v>
      </c>
      <c r="C1" s="1" t="s">
        <v>147</v>
      </c>
      <c r="D1" s="1" t="s">
        <v>149</v>
      </c>
      <c r="E1" s="1"/>
      <c r="F1" s="1"/>
      <c r="G1" s="1"/>
    </row>
    <row r="2" spans="1:7" x14ac:dyDescent="0.25">
      <c r="A2" t="s">
        <v>1</v>
      </c>
      <c r="B2" t="s">
        <v>19</v>
      </c>
      <c r="C2">
        <v>15000</v>
      </c>
      <c r="D2">
        <v>1001</v>
      </c>
    </row>
    <row r="3" spans="1:7" x14ac:dyDescent="0.25">
      <c r="A3" t="s">
        <v>2</v>
      </c>
      <c r="B3" t="s">
        <v>21</v>
      </c>
      <c r="C3">
        <v>18000</v>
      </c>
      <c r="D3">
        <v>1002</v>
      </c>
    </row>
    <row r="4" spans="1:7" x14ac:dyDescent="0.25">
      <c r="A4" t="s">
        <v>3</v>
      </c>
      <c r="B4" t="s">
        <v>21</v>
      </c>
      <c r="C4">
        <v>12000</v>
      </c>
      <c r="D4">
        <v>1003</v>
      </c>
    </row>
    <row r="5" spans="1:7" x14ac:dyDescent="0.25">
      <c r="A5" t="s">
        <v>4</v>
      </c>
      <c r="B5" t="s">
        <v>146</v>
      </c>
      <c r="C5" t="s">
        <v>148</v>
      </c>
      <c r="D5">
        <v>1004</v>
      </c>
    </row>
    <row r="6" spans="1:7" x14ac:dyDescent="0.25">
      <c r="A6" t="s">
        <v>5</v>
      </c>
      <c r="B6" t="s">
        <v>21</v>
      </c>
      <c r="C6">
        <v>18000</v>
      </c>
    </row>
    <row r="7" spans="1:7" x14ac:dyDescent="0.25">
      <c r="A7" t="s">
        <v>6</v>
      </c>
      <c r="B7" t="s">
        <v>146</v>
      </c>
      <c r="C7" t="s">
        <v>148</v>
      </c>
    </row>
    <row r="8" spans="1:7" x14ac:dyDescent="0.25">
      <c r="A8" t="s">
        <v>7</v>
      </c>
      <c r="B8" t="s">
        <v>19</v>
      </c>
      <c r="C8">
        <v>1800</v>
      </c>
    </row>
    <row r="9" spans="1:7" x14ac:dyDescent="0.25">
      <c r="A9" t="s">
        <v>8</v>
      </c>
      <c r="B9" t="s">
        <v>19</v>
      </c>
      <c r="C9">
        <v>1800</v>
      </c>
    </row>
    <row r="10" spans="1:7" x14ac:dyDescent="0.25">
      <c r="A10" t="s">
        <v>9</v>
      </c>
      <c r="B10" t="s">
        <v>19</v>
      </c>
      <c r="C10">
        <v>1800</v>
      </c>
    </row>
    <row r="11" spans="1:7" x14ac:dyDescent="0.25">
      <c r="A11" t="s">
        <v>10</v>
      </c>
      <c r="B11" t="s">
        <v>146</v>
      </c>
      <c r="C11" t="s">
        <v>148</v>
      </c>
    </row>
    <row r="12" spans="1:7" x14ac:dyDescent="0.25">
      <c r="A12" t="s">
        <v>11</v>
      </c>
      <c r="B12" t="s">
        <v>21</v>
      </c>
      <c r="C12">
        <v>1088</v>
      </c>
    </row>
    <row r="13" spans="1:7" x14ac:dyDescent="0.25">
      <c r="A13" t="s">
        <v>12</v>
      </c>
      <c r="B13" t="s">
        <v>146</v>
      </c>
      <c r="C13" t="s">
        <v>148</v>
      </c>
    </row>
  </sheetData>
  <dataValidations count="3">
    <dataValidation type="list" allowBlank="1" showInputMessage="1" showErrorMessage="1" sqref="B2:B13" xr:uid="{D6267C27-13AA-4514-BA05-25D4F4F39FA4}">
      <formula1>"Maths,Economics,Law"</formula1>
    </dataValidation>
    <dataValidation type="custom" allowBlank="1" showInputMessage="1" showErrorMessage="1" sqref="C2:C13" xr:uid="{7246D62C-7C88-4EC1-A1C1-D58070821C0F}">
      <formula1>IF(B2&lt;&gt;"Law",ISNUMBER(C2),C2="FREE")</formula1>
    </dataValidation>
    <dataValidation type="custom" allowBlank="1" showInputMessage="1" showErrorMessage="1" sqref="D2:D13" xr:uid="{6111B35C-3808-4C7A-8B40-C9358094AC7C}">
      <formula1>COUNTIF($D$2:$D$13,D2)=1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82B5-7525-4089-A38C-32270B74F0D5}">
  <dimension ref="A3:F29"/>
  <sheetViews>
    <sheetView workbookViewId="0">
      <selection activeCell="K8" sqref="K8"/>
    </sheetView>
  </sheetViews>
  <sheetFormatPr defaultRowHeight="15" x14ac:dyDescent="0.25"/>
  <cols>
    <col min="1" max="1" width="13.42578125" bestFit="1" customWidth="1"/>
    <col min="2" max="2" width="14.85546875" bestFit="1" customWidth="1"/>
    <col min="3" max="5" width="7" bestFit="1" customWidth="1"/>
    <col min="6" max="8" width="11.28515625" bestFit="1" customWidth="1"/>
  </cols>
  <sheetData>
    <row r="3" spans="1:6" x14ac:dyDescent="0.25">
      <c r="A3" s="14" t="s">
        <v>172</v>
      </c>
      <c r="B3" s="14" t="s">
        <v>171</v>
      </c>
    </row>
    <row r="4" spans="1:6" x14ac:dyDescent="0.25">
      <c r="A4" s="14" t="s">
        <v>169</v>
      </c>
      <c r="B4" t="s">
        <v>158</v>
      </c>
      <c r="C4" t="s">
        <v>161</v>
      </c>
      <c r="D4" t="s">
        <v>156</v>
      </c>
      <c r="E4" t="s">
        <v>164</v>
      </c>
      <c r="F4" t="s">
        <v>170</v>
      </c>
    </row>
    <row r="5" spans="1:6" x14ac:dyDescent="0.25">
      <c r="A5" s="15" t="s">
        <v>157</v>
      </c>
      <c r="D5">
        <v>134340</v>
      </c>
      <c r="E5">
        <v>162950</v>
      </c>
      <c r="F5">
        <v>297290</v>
      </c>
    </row>
    <row r="6" spans="1:6" x14ac:dyDescent="0.25">
      <c r="A6" s="16" t="s">
        <v>168</v>
      </c>
      <c r="D6">
        <v>134340</v>
      </c>
      <c r="E6">
        <v>162950</v>
      </c>
      <c r="F6">
        <v>297290</v>
      </c>
    </row>
    <row r="7" spans="1:6" x14ac:dyDescent="0.25">
      <c r="A7" s="15" t="s">
        <v>165</v>
      </c>
      <c r="C7">
        <v>70050</v>
      </c>
      <c r="E7">
        <v>84870</v>
      </c>
      <c r="F7">
        <v>154920</v>
      </c>
    </row>
    <row r="8" spans="1:6" x14ac:dyDescent="0.25">
      <c r="A8" s="16" t="s">
        <v>168</v>
      </c>
      <c r="C8">
        <v>70050</v>
      </c>
      <c r="E8">
        <v>84870</v>
      </c>
      <c r="F8">
        <v>154920</v>
      </c>
    </row>
    <row r="9" spans="1:6" x14ac:dyDescent="0.25">
      <c r="A9" s="15" t="s">
        <v>162</v>
      </c>
      <c r="B9">
        <v>228850</v>
      </c>
      <c r="D9">
        <v>81740</v>
      </c>
      <c r="E9">
        <v>163490</v>
      </c>
      <c r="F9">
        <v>474080</v>
      </c>
    </row>
    <row r="10" spans="1:6" x14ac:dyDescent="0.25">
      <c r="A10" s="16" t="s">
        <v>168</v>
      </c>
      <c r="B10">
        <v>228850</v>
      </c>
      <c r="D10">
        <v>81740</v>
      </c>
      <c r="E10">
        <v>163490</v>
      </c>
      <c r="F10">
        <v>474080</v>
      </c>
    </row>
    <row r="11" spans="1:6" x14ac:dyDescent="0.25">
      <c r="A11" s="15" t="s">
        <v>167</v>
      </c>
      <c r="B11">
        <v>178880</v>
      </c>
      <c r="D11">
        <v>65170</v>
      </c>
      <c r="E11">
        <v>148700</v>
      </c>
      <c r="F11">
        <v>392750</v>
      </c>
    </row>
    <row r="12" spans="1:6" x14ac:dyDescent="0.25">
      <c r="A12" s="16" t="s">
        <v>168</v>
      </c>
      <c r="B12">
        <v>178880</v>
      </c>
      <c r="D12">
        <v>65170</v>
      </c>
      <c r="E12">
        <v>148700</v>
      </c>
      <c r="F12">
        <v>392750</v>
      </c>
    </row>
    <row r="13" spans="1:6" x14ac:dyDescent="0.25">
      <c r="A13" s="15" t="s">
        <v>159</v>
      </c>
      <c r="B13">
        <v>140810</v>
      </c>
      <c r="C13">
        <v>165070</v>
      </c>
      <c r="D13">
        <v>95090</v>
      </c>
      <c r="E13">
        <v>242130</v>
      </c>
      <c r="F13">
        <v>643100</v>
      </c>
    </row>
    <row r="14" spans="1:6" x14ac:dyDescent="0.25">
      <c r="A14" s="16" t="s">
        <v>168</v>
      </c>
      <c r="B14">
        <v>140810</v>
      </c>
      <c r="C14">
        <v>165070</v>
      </c>
      <c r="D14">
        <v>95090</v>
      </c>
      <c r="E14">
        <v>242130</v>
      </c>
      <c r="F14">
        <v>643100</v>
      </c>
    </row>
    <row r="15" spans="1:6" x14ac:dyDescent="0.25">
      <c r="A15" s="15" t="s">
        <v>170</v>
      </c>
      <c r="B15">
        <v>548540</v>
      </c>
      <c r="C15">
        <v>235120</v>
      </c>
      <c r="D15">
        <v>376340</v>
      </c>
      <c r="E15">
        <v>802140</v>
      </c>
      <c r="F15">
        <v>1962140</v>
      </c>
    </row>
    <row r="23" spans="1:2" x14ac:dyDescent="0.25">
      <c r="A23" s="14" t="s">
        <v>169</v>
      </c>
      <c r="B23" t="s">
        <v>172</v>
      </c>
    </row>
    <row r="24" spans="1:2" x14ac:dyDescent="0.25">
      <c r="A24" s="15" t="s">
        <v>173</v>
      </c>
      <c r="B24">
        <v>933230</v>
      </c>
    </row>
    <row r="25" spans="1:2" x14ac:dyDescent="0.25">
      <c r="A25" s="15" t="s">
        <v>174</v>
      </c>
      <c r="B25">
        <v>1107440</v>
      </c>
    </row>
    <row r="26" spans="1:2" x14ac:dyDescent="0.25">
      <c r="A26" s="15" t="s">
        <v>175</v>
      </c>
      <c r="B26">
        <v>1338970</v>
      </c>
    </row>
    <row r="27" spans="1:2" x14ac:dyDescent="0.25">
      <c r="A27" s="15" t="s">
        <v>176</v>
      </c>
      <c r="B27">
        <v>2290120</v>
      </c>
    </row>
    <row r="28" spans="1:2" x14ac:dyDescent="0.25">
      <c r="A28" s="15" t="s">
        <v>177</v>
      </c>
      <c r="B28">
        <v>2000510</v>
      </c>
    </row>
    <row r="29" spans="1:2" x14ac:dyDescent="0.25">
      <c r="A29" s="15" t="s">
        <v>170</v>
      </c>
      <c r="B29">
        <v>7670270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CEAE5-A790-41B7-AB4B-8BD827AC7962}">
  <dimension ref="A1:F101"/>
  <sheetViews>
    <sheetView topLeftCell="A89" zoomScale="140" zoomScaleNormal="140" workbookViewId="0">
      <selection sqref="A1:F101"/>
    </sheetView>
  </sheetViews>
  <sheetFormatPr defaultRowHeight="15" x14ac:dyDescent="0.25"/>
  <cols>
    <col min="5" max="5" width="9.28515625" customWidth="1"/>
    <col min="6" max="6" width="13.7109375" style="12" customWidth="1"/>
  </cols>
  <sheetData>
    <row r="1" spans="1:6" x14ac:dyDescent="0.25">
      <c r="A1" s="1" t="s">
        <v>150</v>
      </c>
      <c r="B1" s="1" t="s">
        <v>151</v>
      </c>
      <c r="C1" s="1" t="s">
        <v>152</v>
      </c>
      <c r="D1" s="1" t="s">
        <v>153</v>
      </c>
      <c r="E1" s="1" t="s">
        <v>154</v>
      </c>
      <c r="F1" s="13" t="s">
        <v>144</v>
      </c>
    </row>
    <row r="2" spans="1:6" x14ac:dyDescent="0.25">
      <c r="A2" t="s">
        <v>160</v>
      </c>
      <c r="B2" t="s">
        <v>156</v>
      </c>
      <c r="C2" t="s">
        <v>162</v>
      </c>
      <c r="D2">
        <v>3</v>
      </c>
      <c r="E2">
        <v>99590</v>
      </c>
      <c r="F2" s="12">
        <v>45669</v>
      </c>
    </row>
    <row r="3" spans="1:6" x14ac:dyDescent="0.25">
      <c r="A3" t="s">
        <v>166</v>
      </c>
      <c r="B3" t="s">
        <v>161</v>
      </c>
      <c r="C3" t="s">
        <v>165</v>
      </c>
      <c r="D3">
        <v>6</v>
      </c>
      <c r="E3">
        <v>93600</v>
      </c>
      <c r="F3" s="12">
        <v>45695</v>
      </c>
    </row>
    <row r="4" spans="1:6" x14ac:dyDescent="0.25">
      <c r="A4" t="s">
        <v>168</v>
      </c>
      <c r="B4" t="s">
        <v>164</v>
      </c>
      <c r="C4" t="s">
        <v>159</v>
      </c>
      <c r="D4">
        <v>1</v>
      </c>
      <c r="E4">
        <v>92480</v>
      </c>
      <c r="F4" s="12">
        <v>45678</v>
      </c>
    </row>
    <row r="5" spans="1:6" x14ac:dyDescent="0.25">
      <c r="A5" t="s">
        <v>168</v>
      </c>
      <c r="B5" t="s">
        <v>164</v>
      </c>
      <c r="C5" t="s">
        <v>165</v>
      </c>
      <c r="D5">
        <v>6</v>
      </c>
      <c r="E5">
        <v>84870</v>
      </c>
      <c r="F5" s="12">
        <v>45741</v>
      </c>
    </row>
    <row r="6" spans="1:6" x14ac:dyDescent="0.25">
      <c r="A6" t="s">
        <v>163</v>
      </c>
      <c r="B6" t="s">
        <v>164</v>
      </c>
      <c r="C6" t="s">
        <v>159</v>
      </c>
      <c r="D6">
        <v>3</v>
      </c>
      <c r="E6">
        <v>59650</v>
      </c>
      <c r="F6" s="12">
        <v>45708</v>
      </c>
    </row>
    <row r="7" spans="1:6" x14ac:dyDescent="0.25">
      <c r="A7" t="s">
        <v>155</v>
      </c>
      <c r="B7" t="s">
        <v>156</v>
      </c>
      <c r="C7" t="s">
        <v>159</v>
      </c>
      <c r="D7">
        <v>6</v>
      </c>
      <c r="E7">
        <v>57300</v>
      </c>
      <c r="F7" s="12">
        <v>45665</v>
      </c>
    </row>
    <row r="8" spans="1:6" x14ac:dyDescent="0.25">
      <c r="A8" t="s">
        <v>155</v>
      </c>
      <c r="B8" t="s">
        <v>158</v>
      </c>
      <c r="C8" t="s">
        <v>167</v>
      </c>
      <c r="D8">
        <v>2</v>
      </c>
      <c r="E8">
        <v>83910</v>
      </c>
      <c r="F8" s="12">
        <v>45741</v>
      </c>
    </row>
    <row r="9" spans="1:6" x14ac:dyDescent="0.25">
      <c r="A9" t="s">
        <v>163</v>
      </c>
      <c r="B9" t="s">
        <v>156</v>
      </c>
      <c r="C9" t="s">
        <v>157</v>
      </c>
      <c r="D9">
        <v>5</v>
      </c>
      <c r="E9">
        <v>81810</v>
      </c>
      <c r="F9" s="12">
        <v>45685</v>
      </c>
    </row>
    <row r="10" spans="1:6" x14ac:dyDescent="0.25">
      <c r="A10" t="s">
        <v>166</v>
      </c>
      <c r="B10" t="s">
        <v>156</v>
      </c>
      <c r="C10" t="s">
        <v>157</v>
      </c>
      <c r="D10">
        <v>1</v>
      </c>
      <c r="E10">
        <v>70650</v>
      </c>
      <c r="F10" s="12">
        <v>45659</v>
      </c>
    </row>
    <row r="11" spans="1:6" x14ac:dyDescent="0.25">
      <c r="A11" t="s">
        <v>155</v>
      </c>
      <c r="B11" t="s">
        <v>156</v>
      </c>
      <c r="C11" t="s">
        <v>162</v>
      </c>
      <c r="D11">
        <v>4</v>
      </c>
      <c r="E11">
        <v>53750</v>
      </c>
      <c r="F11" s="12">
        <v>45708</v>
      </c>
    </row>
    <row r="12" spans="1:6" x14ac:dyDescent="0.25">
      <c r="A12" t="s">
        <v>166</v>
      </c>
      <c r="B12" t="s">
        <v>158</v>
      </c>
      <c r="C12" t="s">
        <v>165</v>
      </c>
      <c r="D12">
        <v>4</v>
      </c>
      <c r="E12">
        <v>84320</v>
      </c>
      <c r="F12" s="12">
        <v>45694</v>
      </c>
    </row>
    <row r="13" spans="1:6" x14ac:dyDescent="0.25">
      <c r="A13" t="s">
        <v>155</v>
      </c>
      <c r="B13" t="s">
        <v>158</v>
      </c>
      <c r="C13" t="s">
        <v>165</v>
      </c>
      <c r="D13">
        <v>1</v>
      </c>
      <c r="E13">
        <v>79860</v>
      </c>
      <c r="F13" s="12">
        <v>45697</v>
      </c>
    </row>
    <row r="14" spans="1:6" x14ac:dyDescent="0.25">
      <c r="A14" t="s">
        <v>163</v>
      </c>
      <c r="B14" t="s">
        <v>161</v>
      </c>
      <c r="C14" t="s">
        <v>159</v>
      </c>
      <c r="D14">
        <v>3</v>
      </c>
      <c r="E14">
        <v>88160</v>
      </c>
      <c r="F14" s="12">
        <v>45672</v>
      </c>
    </row>
    <row r="15" spans="1:6" x14ac:dyDescent="0.25">
      <c r="A15" t="s">
        <v>168</v>
      </c>
      <c r="B15" t="s">
        <v>164</v>
      </c>
      <c r="C15" t="s">
        <v>167</v>
      </c>
      <c r="D15">
        <v>3</v>
      </c>
      <c r="E15">
        <v>71020</v>
      </c>
      <c r="F15" s="12">
        <v>45709</v>
      </c>
    </row>
    <row r="16" spans="1:6" x14ac:dyDescent="0.25">
      <c r="A16" t="s">
        <v>155</v>
      </c>
      <c r="B16" t="s">
        <v>164</v>
      </c>
      <c r="C16" t="s">
        <v>157</v>
      </c>
      <c r="D16">
        <v>1</v>
      </c>
      <c r="E16">
        <v>54200</v>
      </c>
      <c r="F16" s="12">
        <v>45687</v>
      </c>
    </row>
    <row r="17" spans="1:6" x14ac:dyDescent="0.25">
      <c r="A17" t="s">
        <v>160</v>
      </c>
      <c r="B17" t="s">
        <v>164</v>
      </c>
      <c r="C17" t="s">
        <v>159</v>
      </c>
      <c r="D17">
        <v>5</v>
      </c>
      <c r="E17">
        <v>58660</v>
      </c>
      <c r="F17" s="12">
        <v>45672</v>
      </c>
    </row>
    <row r="18" spans="1:6" x14ac:dyDescent="0.25">
      <c r="A18" t="s">
        <v>168</v>
      </c>
      <c r="B18" t="s">
        <v>156</v>
      </c>
      <c r="C18" t="s">
        <v>157</v>
      </c>
      <c r="D18">
        <v>1</v>
      </c>
      <c r="E18">
        <v>67010</v>
      </c>
      <c r="F18" s="12">
        <v>45708</v>
      </c>
    </row>
    <row r="19" spans="1:6" x14ac:dyDescent="0.25">
      <c r="A19" t="s">
        <v>168</v>
      </c>
      <c r="B19" t="s">
        <v>156</v>
      </c>
      <c r="C19" t="s">
        <v>159</v>
      </c>
      <c r="D19">
        <v>6</v>
      </c>
      <c r="E19">
        <v>95090</v>
      </c>
      <c r="F19" s="12">
        <v>45698</v>
      </c>
    </row>
    <row r="20" spans="1:6" x14ac:dyDescent="0.25">
      <c r="A20" t="s">
        <v>160</v>
      </c>
      <c r="B20" t="s">
        <v>158</v>
      </c>
      <c r="C20" t="s">
        <v>162</v>
      </c>
      <c r="D20">
        <v>1</v>
      </c>
      <c r="E20">
        <v>52280</v>
      </c>
      <c r="F20" s="12">
        <v>45661</v>
      </c>
    </row>
    <row r="21" spans="1:6" x14ac:dyDescent="0.25">
      <c r="A21" t="s">
        <v>163</v>
      </c>
      <c r="B21" t="s">
        <v>156</v>
      </c>
      <c r="C21" t="s">
        <v>159</v>
      </c>
      <c r="D21">
        <v>4</v>
      </c>
      <c r="E21">
        <v>97670</v>
      </c>
      <c r="F21" s="12">
        <v>45716</v>
      </c>
    </row>
    <row r="22" spans="1:6" x14ac:dyDescent="0.25">
      <c r="A22" t="s">
        <v>155</v>
      </c>
      <c r="B22" t="s">
        <v>161</v>
      </c>
      <c r="C22" t="s">
        <v>157</v>
      </c>
      <c r="D22">
        <v>6</v>
      </c>
      <c r="E22">
        <v>74990</v>
      </c>
      <c r="F22" s="12">
        <v>45697</v>
      </c>
    </row>
    <row r="23" spans="1:6" x14ac:dyDescent="0.25">
      <c r="A23" t="s">
        <v>168</v>
      </c>
      <c r="B23" t="s">
        <v>161</v>
      </c>
      <c r="C23" t="s">
        <v>165</v>
      </c>
      <c r="D23">
        <v>5</v>
      </c>
      <c r="E23">
        <v>70050</v>
      </c>
      <c r="F23" s="12">
        <v>45672</v>
      </c>
    </row>
    <row r="24" spans="1:6" x14ac:dyDescent="0.25">
      <c r="A24" t="s">
        <v>155</v>
      </c>
      <c r="B24" t="s">
        <v>158</v>
      </c>
      <c r="C24" t="s">
        <v>159</v>
      </c>
      <c r="D24">
        <v>6</v>
      </c>
      <c r="E24">
        <v>62820</v>
      </c>
      <c r="F24" s="12">
        <v>45708</v>
      </c>
    </row>
    <row r="25" spans="1:6" x14ac:dyDescent="0.25">
      <c r="A25" t="s">
        <v>168</v>
      </c>
      <c r="B25" t="s">
        <v>164</v>
      </c>
      <c r="C25" t="s">
        <v>157</v>
      </c>
      <c r="D25">
        <v>2</v>
      </c>
      <c r="E25">
        <v>80400</v>
      </c>
      <c r="F25" s="12">
        <v>45666</v>
      </c>
    </row>
    <row r="26" spans="1:6" x14ac:dyDescent="0.25">
      <c r="A26" t="s">
        <v>168</v>
      </c>
      <c r="B26" t="s">
        <v>158</v>
      </c>
      <c r="C26" t="s">
        <v>162</v>
      </c>
      <c r="D26">
        <v>6</v>
      </c>
      <c r="E26">
        <v>88020</v>
      </c>
      <c r="F26" s="12">
        <v>45734</v>
      </c>
    </row>
    <row r="27" spans="1:6" x14ac:dyDescent="0.25">
      <c r="A27" t="s">
        <v>155</v>
      </c>
      <c r="B27" t="s">
        <v>161</v>
      </c>
      <c r="C27" t="s">
        <v>159</v>
      </c>
      <c r="D27">
        <v>3</v>
      </c>
      <c r="E27">
        <v>63480</v>
      </c>
      <c r="F27" s="12">
        <v>45686</v>
      </c>
    </row>
    <row r="28" spans="1:6" x14ac:dyDescent="0.25">
      <c r="A28" t="s">
        <v>160</v>
      </c>
      <c r="B28" t="s">
        <v>164</v>
      </c>
      <c r="C28" t="s">
        <v>165</v>
      </c>
      <c r="D28">
        <v>6</v>
      </c>
      <c r="E28">
        <v>52400</v>
      </c>
      <c r="F28" s="12">
        <v>45705</v>
      </c>
    </row>
    <row r="29" spans="1:6" x14ac:dyDescent="0.25">
      <c r="A29" t="s">
        <v>166</v>
      </c>
      <c r="B29" t="s">
        <v>158</v>
      </c>
      <c r="C29" t="s">
        <v>157</v>
      </c>
      <c r="D29">
        <v>3</v>
      </c>
      <c r="E29">
        <v>84980</v>
      </c>
      <c r="F29" s="12">
        <v>45695</v>
      </c>
    </row>
    <row r="30" spans="1:6" x14ac:dyDescent="0.25">
      <c r="A30" t="s">
        <v>163</v>
      </c>
      <c r="B30" t="s">
        <v>158</v>
      </c>
      <c r="C30" t="s">
        <v>165</v>
      </c>
      <c r="D30">
        <v>6</v>
      </c>
      <c r="E30">
        <v>84370</v>
      </c>
      <c r="F30" s="12">
        <v>45731</v>
      </c>
    </row>
    <row r="31" spans="1:6" x14ac:dyDescent="0.25">
      <c r="A31" t="s">
        <v>155</v>
      </c>
      <c r="B31" t="s">
        <v>164</v>
      </c>
      <c r="C31" t="s">
        <v>165</v>
      </c>
      <c r="D31">
        <v>4</v>
      </c>
      <c r="E31">
        <v>60220</v>
      </c>
      <c r="F31" s="12">
        <v>45719</v>
      </c>
    </row>
    <row r="32" spans="1:6" x14ac:dyDescent="0.25">
      <c r="A32" t="s">
        <v>155</v>
      </c>
      <c r="B32" t="s">
        <v>158</v>
      </c>
      <c r="C32" t="s">
        <v>162</v>
      </c>
      <c r="D32">
        <v>2</v>
      </c>
      <c r="E32">
        <v>80660</v>
      </c>
      <c r="F32" s="12">
        <v>45701</v>
      </c>
    </row>
    <row r="33" spans="1:6" x14ac:dyDescent="0.25">
      <c r="A33" t="s">
        <v>168</v>
      </c>
      <c r="B33" t="s">
        <v>158</v>
      </c>
      <c r="C33" t="s">
        <v>162</v>
      </c>
      <c r="D33">
        <v>1</v>
      </c>
      <c r="E33">
        <v>78220</v>
      </c>
      <c r="F33" s="12">
        <v>45713</v>
      </c>
    </row>
    <row r="34" spans="1:6" x14ac:dyDescent="0.25">
      <c r="A34" t="s">
        <v>155</v>
      </c>
      <c r="B34" t="s">
        <v>161</v>
      </c>
      <c r="C34" t="s">
        <v>157</v>
      </c>
      <c r="D34">
        <v>3</v>
      </c>
      <c r="E34">
        <v>62210</v>
      </c>
      <c r="F34" s="12">
        <v>45663</v>
      </c>
    </row>
    <row r="35" spans="1:6" x14ac:dyDescent="0.25">
      <c r="A35" t="s">
        <v>160</v>
      </c>
      <c r="B35" t="s">
        <v>161</v>
      </c>
      <c r="C35" t="s">
        <v>165</v>
      </c>
      <c r="D35">
        <v>1</v>
      </c>
      <c r="E35">
        <v>89380</v>
      </c>
      <c r="F35" s="12">
        <v>45696</v>
      </c>
    </row>
    <row r="36" spans="1:6" x14ac:dyDescent="0.25">
      <c r="A36" t="s">
        <v>168</v>
      </c>
      <c r="B36" t="s">
        <v>156</v>
      </c>
      <c r="C36" t="s">
        <v>157</v>
      </c>
      <c r="D36">
        <v>5</v>
      </c>
      <c r="E36">
        <v>67330</v>
      </c>
      <c r="F36" s="12">
        <v>45706</v>
      </c>
    </row>
    <row r="37" spans="1:6" x14ac:dyDescent="0.25">
      <c r="A37" t="s">
        <v>160</v>
      </c>
      <c r="B37" t="s">
        <v>156</v>
      </c>
      <c r="C37" t="s">
        <v>162</v>
      </c>
      <c r="D37">
        <v>5</v>
      </c>
      <c r="E37">
        <v>80880</v>
      </c>
      <c r="F37" s="12">
        <v>45736</v>
      </c>
    </row>
    <row r="38" spans="1:6" x14ac:dyDescent="0.25">
      <c r="A38" t="s">
        <v>168</v>
      </c>
      <c r="B38" t="s">
        <v>158</v>
      </c>
      <c r="C38" t="s">
        <v>162</v>
      </c>
      <c r="D38">
        <v>1</v>
      </c>
      <c r="E38">
        <v>62610</v>
      </c>
      <c r="F38" s="12">
        <v>45706</v>
      </c>
    </row>
    <row r="39" spans="1:6" x14ac:dyDescent="0.25">
      <c r="A39" t="s">
        <v>163</v>
      </c>
      <c r="B39" t="s">
        <v>161</v>
      </c>
      <c r="C39" t="s">
        <v>162</v>
      </c>
      <c r="D39">
        <v>2</v>
      </c>
      <c r="E39">
        <v>95860</v>
      </c>
      <c r="F39" s="12">
        <v>45688</v>
      </c>
    </row>
    <row r="40" spans="1:6" x14ac:dyDescent="0.25">
      <c r="A40" t="s">
        <v>163</v>
      </c>
      <c r="B40" t="s">
        <v>161</v>
      </c>
      <c r="C40" t="s">
        <v>157</v>
      </c>
      <c r="D40">
        <v>2</v>
      </c>
      <c r="E40">
        <v>91690</v>
      </c>
      <c r="F40" s="12">
        <v>45676</v>
      </c>
    </row>
    <row r="41" spans="1:6" x14ac:dyDescent="0.25">
      <c r="A41" t="s">
        <v>163</v>
      </c>
      <c r="B41" t="s">
        <v>164</v>
      </c>
      <c r="C41" t="s">
        <v>157</v>
      </c>
      <c r="D41">
        <v>2</v>
      </c>
      <c r="E41">
        <v>76080</v>
      </c>
      <c r="F41" s="12">
        <v>45662</v>
      </c>
    </row>
    <row r="42" spans="1:6" x14ac:dyDescent="0.25">
      <c r="A42" t="s">
        <v>168</v>
      </c>
      <c r="B42" t="s">
        <v>158</v>
      </c>
      <c r="C42" t="s">
        <v>167</v>
      </c>
      <c r="D42">
        <v>3</v>
      </c>
      <c r="E42">
        <v>83990</v>
      </c>
      <c r="F42" s="12">
        <v>45669</v>
      </c>
    </row>
    <row r="43" spans="1:6" x14ac:dyDescent="0.25">
      <c r="A43" t="s">
        <v>168</v>
      </c>
      <c r="B43" t="s">
        <v>164</v>
      </c>
      <c r="C43" t="s">
        <v>157</v>
      </c>
      <c r="D43">
        <v>4</v>
      </c>
      <c r="E43">
        <v>82550</v>
      </c>
      <c r="F43" s="12">
        <v>45727</v>
      </c>
    </row>
    <row r="44" spans="1:6" x14ac:dyDescent="0.25">
      <c r="A44" t="s">
        <v>163</v>
      </c>
      <c r="B44" t="s">
        <v>161</v>
      </c>
      <c r="C44" t="s">
        <v>162</v>
      </c>
      <c r="D44">
        <v>6</v>
      </c>
      <c r="E44">
        <v>90660</v>
      </c>
      <c r="F44" s="12">
        <v>45666</v>
      </c>
    </row>
    <row r="45" spans="1:6" x14ac:dyDescent="0.25">
      <c r="A45" t="s">
        <v>155</v>
      </c>
      <c r="B45" t="s">
        <v>164</v>
      </c>
      <c r="C45" t="s">
        <v>162</v>
      </c>
      <c r="D45">
        <v>3</v>
      </c>
      <c r="E45">
        <v>72580</v>
      </c>
      <c r="F45" s="12">
        <v>45706</v>
      </c>
    </row>
    <row r="46" spans="1:6" x14ac:dyDescent="0.25">
      <c r="A46" t="s">
        <v>160</v>
      </c>
      <c r="B46" t="s">
        <v>161</v>
      </c>
      <c r="C46" t="s">
        <v>157</v>
      </c>
      <c r="D46">
        <v>4</v>
      </c>
      <c r="E46">
        <v>88250</v>
      </c>
      <c r="F46" s="12">
        <v>45680</v>
      </c>
    </row>
    <row r="47" spans="1:6" x14ac:dyDescent="0.25">
      <c r="A47" t="s">
        <v>155</v>
      </c>
      <c r="B47" t="s">
        <v>164</v>
      </c>
      <c r="C47" t="s">
        <v>159</v>
      </c>
      <c r="D47">
        <v>5</v>
      </c>
      <c r="E47">
        <v>85220</v>
      </c>
      <c r="F47" s="12">
        <v>45730</v>
      </c>
    </row>
    <row r="48" spans="1:6" x14ac:dyDescent="0.25">
      <c r="A48" t="s">
        <v>168</v>
      </c>
      <c r="B48" t="s">
        <v>164</v>
      </c>
      <c r="C48" t="s">
        <v>162</v>
      </c>
      <c r="D48">
        <v>5</v>
      </c>
      <c r="E48">
        <v>65870</v>
      </c>
      <c r="F48" s="12">
        <v>45671</v>
      </c>
    </row>
    <row r="49" spans="1:6" x14ac:dyDescent="0.25">
      <c r="A49" t="s">
        <v>160</v>
      </c>
      <c r="B49" t="s">
        <v>158</v>
      </c>
      <c r="C49" t="s">
        <v>162</v>
      </c>
      <c r="D49">
        <v>1</v>
      </c>
      <c r="E49">
        <v>96040</v>
      </c>
      <c r="F49" s="12">
        <v>45736</v>
      </c>
    </row>
    <row r="50" spans="1:6" x14ac:dyDescent="0.25">
      <c r="A50" t="s">
        <v>160</v>
      </c>
      <c r="B50" t="s">
        <v>164</v>
      </c>
      <c r="C50" t="s">
        <v>167</v>
      </c>
      <c r="D50">
        <v>1</v>
      </c>
      <c r="E50">
        <v>77870</v>
      </c>
      <c r="F50" s="12">
        <v>45717</v>
      </c>
    </row>
    <row r="51" spans="1:6" x14ac:dyDescent="0.25">
      <c r="A51" t="s">
        <v>155</v>
      </c>
      <c r="B51" t="s">
        <v>156</v>
      </c>
      <c r="C51" t="s">
        <v>159</v>
      </c>
      <c r="D51">
        <v>6</v>
      </c>
      <c r="E51">
        <v>74760</v>
      </c>
      <c r="F51" s="12">
        <v>45717</v>
      </c>
    </row>
    <row r="52" spans="1:6" x14ac:dyDescent="0.25">
      <c r="A52" t="s">
        <v>166</v>
      </c>
      <c r="B52" t="s">
        <v>161</v>
      </c>
      <c r="C52" t="s">
        <v>167</v>
      </c>
      <c r="D52">
        <v>4</v>
      </c>
      <c r="E52">
        <v>54590</v>
      </c>
      <c r="F52" s="12">
        <v>45664</v>
      </c>
    </row>
    <row r="53" spans="1:6" x14ac:dyDescent="0.25">
      <c r="A53" t="s">
        <v>168</v>
      </c>
      <c r="B53" t="s">
        <v>158</v>
      </c>
      <c r="C53" t="s">
        <v>167</v>
      </c>
      <c r="D53">
        <v>4</v>
      </c>
      <c r="E53">
        <v>94890</v>
      </c>
      <c r="F53" s="12">
        <v>45659</v>
      </c>
    </row>
    <row r="54" spans="1:6" x14ac:dyDescent="0.25">
      <c r="A54" t="s">
        <v>160</v>
      </c>
      <c r="B54" t="s">
        <v>156</v>
      </c>
      <c r="C54" t="s">
        <v>162</v>
      </c>
      <c r="D54">
        <v>2</v>
      </c>
      <c r="E54">
        <v>64110</v>
      </c>
      <c r="F54" s="12">
        <v>45743</v>
      </c>
    </row>
    <row r="55" spans="1:6" x14ac:dyDescent="0.25">
      <c r="A55" t="s">
        <v>168</v>
      </c>
      <c r="B55" t="s">
        <v>158</v>
      </c>
      <c r="C55" t="s">
        <v>159</v>
      </c>
      <c r="D55">
        <v>3</v>
      </c>
      <c r="E55">
        <v>81540</v>
      </c>
      <c r="F55" s="12">
        <v>45675</v>
      </c>
    </row>
    <row r="56" spans="1:6" x14ac:dyDescent="0.25">
      <c r="A56" t="s">
        <v>163</v>
      </c>
      <c r="B56" t="s">
        <v>161</v>
      </c>
      <c r="C56" t="s">
        <v>165</v>
      </c>
      <c r="D56">
        <v>4</v>
      </c>
      <c r="E56">
        <v>90290</v>
      </c>
      <c r="F56" s="12">
        <v>45690</v>
      </c>
    </row>
    <row r="57" spans="1:6" x14ac:dyDescent="0.25">
      <c r="A57" t="s">
        <v>168</v>
      </c>
      <c r="B57" t="s">
        <v>164</v>
      </c>
      <c r="C57" t="s">
        <v>159</v>
      </c>
      <c r="D57">
        <v>1</v>
      </c>
      <c r="E57">
        <v>89670</v>
      </c>
      <c r="F57" s="12">
        <v>45745</v>
      </c>
    </row>
    <row r="58" spans="1:6" x14ac:dyDescent="0.25">
      <c r="A58" t="s">
        <v>163</v>
      </c>
      <c r="B58" t="s">
        <v>156</v>
      </c>
      <c r="C58" t="s">
        <v>157</v>
      </c>
      <c r="D58">
        <v>3</v>
      </c>
      <c r="E58">
        <v>53430</v>
      </c>
      <c r="F58" s="12">
        <v>45726</v>
      </c>
    </row>
    <row r="59" spans="1:6" x14ac:dyDescent="0.25">
      <c r="A59" t="s">
        <v>155</v>
      </c>
      <c r="B59" t="s">
        <v>156</v>
      </c>
      <c r="C59" t="s">
        <v>167</v>
      </c>
      <c r="D59">
        <v>3</v>
      </c>
      <c r="E59">
        <v>83070</v>
      </c>
      <c r="F59" s="12">
        <v>45724</v>
      </c>
    </row>
    <row r="60" spans="1:6" x14ac:dyDescent="0.25">
      <c r="A60" t="s">
        <v>163</v>
      </c>
      <c r="B60" t="s">
        <v>156</v>
      </c>
      <c r="C60" t="s">
        <v>162</v>
      </c>
      <c r="D60">
        <v>4</v>
      </c>
      <c r="E60">
        <v>86990</v>
      </c>
      <c r="F60" s="12">
        <v>45679</v>
      </c>
    </row>
    <row r="61" spans="1:6" x14ac:dyDescent="0.25">
      <c r="A61" t="s">
        <v>166</v>
      </c>
      <c r="B61" t="s">
        <v>158</v>
      </c>
      <c r="C61" t="s">
        <v>159</v>
      </c>
      <c r="D61">
        <v>3</v>
      </c>
      <c r="E61">
        <v>66530</v>
      </c>
      <c r="F61" s="12">
        <v>45690</v>
      </c>
    </row>
    <row r="62" spans="1:6" x14ac:dyDescent="0.25">
      <c r="A62" t="s">
        <v>166</v>
      </c>
      <c r="B62" t="s">
        <v>161</v>
      </c>
      <c r="C62" t="s">
        <v>167</v>
      </c>
      <c r="D62">
        <v>3</v>
      </c>
      <c r="E62">
        <v>92810</v>
      </c>
      <c r="F62" s="12">
        <v>45695</v>
      </c>
    </row>
    <row r="63" spans="1:6" x14ac:dyDescent="0.25">
      <c r="A63" t="s">
        <v>160</v>
      </c>
      <c r="B63" t="s">
        <v>161</v>
      </c>
      <c r="C63" t="s">
        <v>159</v>
      </c>
      <c r="D63">
        <v>3</v>
      </c>
      <c r="E63">
        <v>98920</v>
      </c>
      <c r="F63" s="12">
        <v>45658</v>
      </c>
    </row>
    <row r="64" spans="1:6" x14ac:dyDescent="0.25">
      <c r="A64" t="s">
        <v>160</v>
      </c>
      <c r="B64" t="s">
        <v>158</v>
      </c>
      <c r="C64" t="s">
        <v>159</v>
      </c>
      <c r="D64">
        <v>3</v>
      </c>
      <c r="E64">
        <v>95080</v>
      </c>
      <c r="F64" s="12">
        <v>45696</v>
      </c>
    </row>
    <row r="65" spans="1:6" x14ac:dyDescent="0.25">
      <c r="A65" t="s">
        <v>163</v>
      </c>
      <c r="B65" t="s">
        <v>158</v>
      </c>
      <c r="C65" t="s">
        <v>159</v>
      </c>
      <c r="D65">
        <v>3</v>
      </c>
      <c r="E65">
        <v>53630</v>
      </c>
      <c r="F65" s="12">
        <v>45700</v>
      </c>
    </row>
    <row r="66" spans="1:6" x14ac:dyDescent="0.25">
      <c r="A66" t="s">
        <v>163</v>
      </c>
      <c r="B66" t="s">
        <v>156</v>
      </c>
      <c r="C66" t="s">
        <v>159</v>
      </c>
      <c r="D66">
        <v>1</v>
      </c>
      <c r="E66">
        <v>66750</v>
      </c>
      <c r="F66" s="12">
        <v>45680</v>
      </c>
    </row>
    <row r="67" spans="1:6" x14ac:dyDescent="0.25">
      <c r="A67" t="s">
        <v>155</v>
      </c>
      <c r="B67" t="s">
        <v>164</v>
      </c>
      <c r="C67" t="s">
        <v>159</v>
      </c>
      <c r="D67">
        <v>5</v>
      </c>
      <c r="E67">
        <v>68730</v>
      </c>
      <c r="F67" s="12">
        <v>45726</v>
      </c>
    </row>
    <row r="68" spans="1:6" x14ac:dyDescent="0.25">
      <c r="A68" t="s">
        <v>168</v>
      </c>
      <c r="B68" t="s">
        <v>156</v>
      </c>
      <c r="C68" t="s">
        <v>162</v>
      </c>
      <c r="D68">
        <v>2</v>
      </c>
      <c r="E68">
        <v>81740</v>
      </c>
      <c r="F68" s="12">
        <v>45716</v>
      </c>
    </row>
    <row r="69" spans="1:6" x14ac:dyDescent="0.25">
      <c r="A69" t="s">
        <v>166</v>
      </c>
      <c r="B69" t="s">
        <v>158</v>
      </c>
      <c r="C69" t="s">
        <v>159</v>
      </c>
      <c r="D69">
        <v>3</v>
      </c>
      <c r="E69">
        <v>68500</v>
      </c>
      <c r="F69" s="12">
        <v>45661</v>
      </c>
    </row>
    <row r="70" spans="1:6" x14ac:dyDescent="0.25">
      <c r="A70" t="s">
        <v>166</v>
      </c>
      <c r="B70" t="s">
        <v>156</v>
      </c>
      <c r="C70" t="s">
        <v>167</v>
      </c>
      <c r="D70">
        <v>2</v>
      </c>
      <c r="E70">
        <v>54310</v>
      </c>
      <c r="F70" s="12">
        <v>45676</v>
      </c>
    </row>
    <row r="71" spans="1:6" x14ac:dyDescent="0.25">
      <c r="A71" t="s">
        <v>168</v>
      </c>
      <c r="B71" t="s">
        <v>164</v>
      </c>
      <c r="C71" t="s">
        <v>167</v>
      </c>
      <c r="D71">
        <v>4</v>
      </c>
      <c r="E71">
        <v>77680</v>
      </c>
      <c r="F71" s="12">
        <v>45721</v>
      </c>
    </row>
    <row r="72" spans="1:6" x14ac:dyDescent="0.25">
      <c r="A72" t="s">
        <v>155</v>
      </c>
      <c r="B72" t="s">
        <v>164</v>
      </c>
      <c r="C72" t="s">
        <v>162</v>
      </c>
      <c r="D72">
        <v>5</v>
      </c>
      <c r="E72">
        <v>83450</v>
      </c>
      <c r="F72" s="12">
        <v>45712</v>
      </c>
    </row>
    <row r="73" spans="1:6" x14ac:dyDescent="0.25">
      <c r="A73" t="s">
        <v>168</v>
      </c>
      <c r="B73" t="s">
        <v>164</v>
      </c>
      <c r="C73" t="s">
        <v>162</v>
      </c>
      <c r="D73">
        <v>2</v>
      </c>
      <c r="E73">
        <v>97620</v>
      </c>
      <c r="F73" s="12">
        <v>45735</v>
      </c>
    </row>
    <row r="74" spans="1:6" x14ac:dyDescent="0.25">
      <c r="A74" t="s">
        <v>168</v>
      </c>
      <c r="B74" t="s">
        <v>158</v>
      </c>
      <c r="C74" t="s">
        <v>159</v>
      </c>
      <c r="D74">
        <v>4</v>
      </c>
      <c r="E74">
        <v>59270</v>
      </c>
      <c r="F74" s="12">
        <v>45701</v>
      </c>
    </row>
    <row r="75" spans="1:6" x14ac:dyDescent="0.25">
      <c r="A75" t="s">
        <v>166</v>
      </c>
      <c r="B75" t="s">
        <v>164</v>
      </c>
      <c r="C75" t="s">
        <v>159</v>
      </c>
      <c r="D75">
        <v>2</v>
      </c>
      <c r="E75">
        <v>53860</v>
      </c>
      <c r="F75" s="12">
        <v>45742</v>
      </c>
    </row>
    <row r="76" spans="1:6" x14ac:dyDescent="0.25">
      <c r="A76" t="s">
        <v>155</v>
      </c>
      <c r="B76" t="s">
        <v>156</v>
      </c>
      <c r="C76" t="s">
        <v>162</v>
      </c>
      <c r="D76">
        <v>6</v>
      </c>
      <c r="E76">
        <v>85350</v>
      </c>
      <c r="F76" s="12">
        <v>45720</v>
      </c>
    </row>
    <row r="77" spans="1:6" x14ac:dyDescent="0.25">
      <c r="A77" t="s">
        <v>163</v>
      </c>
      <c r="B77" t="s">
        <v>156</v>
      </c>
      <c r="C77" t="s">
        <v>165</v>
      </c>
      <c r="D77">
        <v>4</v>
      </c>
      <c r="E77">
        <v>75440</v>
      </c>
      <c r="F77" s="12">
        <v>45727</v>
      </c>
    </row>
    <row r="78" spans="1:6" x14ac:dyDescent="0.25">
      <c r="A78" t="s">
        <v>155</v>
      </c>
      <c r="B78" t="s">
        <v>156</v>
      </c>
      <c r="C78" t="s">
        <v>157</v>
      </c>
      <c r="D78">
        <v>5</v>
      </c>
      <c r="E78">
        <v>99890</v>
      </c>
      <c r="F78" s="12">
        <v>45742</v>
      </c>
    </row>
    <row r="79" spans="1:6" x14ac:dyDescent="0.25">
      <c r="A79" t="s">
        <v>160</v>
      </c>
      <c r="B79" t="s">
        <v>156</v>
      </c>
      <c r="C79" t="s">
        <v>162</v>
      </c>
      <c r="D79">
        <v>6</v>
      </c>
      <c r="E79">
        <v>75320</v>
      </c>
      <c r="F79" s="12">
        <v>45732</v>
      </c>
    </row>
    <row r="80" spans="1:6" x14ac:dyDescent="0.25">
      <c r="A80" t="s">
        <v>163</v>
      </c>
      <c r="B80" t="s">
        <v>158</v>
      </c>
      <c r="C80" t="s">
        <v>162</v>
      </c>
      <c r="D80">
        <v>6</v>
      </c>
      <c r="E80">
        <v>85690</v>
      </c>
      <c r="F80" s="12">
        <v>45661</v>
      </c>
    </row>
    <row r="81" spans="1:6" x14ac:dyDescent="0.25">
      <c r="A81" t="s">
        <v>160</v>
      </c>
      <c r="B81" t="s">
        <v>161</v>
      </c>
      <c r="C81" t="s">
        <v>162</v>
      </c>
      <c r="D81">
        <v>5</v>
      </c>
      <c r="E81">
        <v>94010</v>
      </c>
      <c r="F81" s="12">
        <v>45718</v>
      </c>
    </row>
    <row r="82" spans="1:6" x14ac:dyDescent="0.25">
      <c r="A82" t="s">
        <v>160</v>
      </c>
      <c r="B82" t="s">
        <v>161</v>
      </c>
      <c r="C82" t="s">
        <v>165</v>
      </c>
      <c r="D82">
        <v>6</v>
      </c>
      <c r="E82">
        <v>98610</v>
      </c>
      <c r="F82" s="12">
        <v>45726</v>
      </c>
    </row>
    <row r="83" spans="1:6" x14ac:dyDescent="0.25">
      <c r="A83" t="s">
        <v>160</v>
      </c>
      <c r="B83" t="s">
        <v>156</v>
      </c>
      <c r="C83" t="s">
        <v>167</v>
      </c>
      <c r="D83">
        <v>5</v>
      </c>
      <c r="E83">
        <v>79210</v>
      </c>
      <c r="F83" s="12">
        <v>45666</v>
      </c>
    </row>
    <row r="84" spans="1:6" x14ac:dyDescent="0.25">
      <c r="A84" t="s">
        <v>166</v>
      </c>
      <c r="B84" t="s">
        <v>164</v>
      </c>
      <c r="C84" t="s">
        <v>157</v>
      </c>
      <c r="D84">
        <v>3</v>
      </c>
      <c r="E84">
        <v>50400</v>
      </c>
      <c r="F84" s="12">
        <v>45739</v>
      </c>
    </row>
    <row r="85" spans="1:6" x14ac:dyDescent="0.25">
      <c r="A85" t="s">
        <v>166</v>
      </c>
      <c r="B85" t="s">
        <v>158</v>
      </c>
      <c r="C85" t="s">
        <v>167</v>
      </c>
      <c r="D85">
        <v>4</v>
      </c>
      <c r="E85">
        <v>94290</v>
      </c>
      <c r="F85" s="12">
        <v>45706</v>
      </c>
    </row>
    <row r="86" spans="1:6" x14ac:dyDescent="0.25">
      <c r="A86" t="s">
        <v>166</v>
      </c>
      <c r="B86" t="s">
        <v>156</v>
      </c>
      <c r="C86" t="s">
        <v>165</v>
      </c>
      <c r="D86">
        <v>5</v>
      </c>
      <c r="E86">
        <v>85000</v>
      </c>
      <c r="F86" s="12">
        <v>45713</v>
      </c>
    </row>
    <row r="87" spans="1:6" x14ac:dyDescent="0.25">
      <c r="A87" t="s">
        <v>168</v>
      </c>
      <c r="B87" t="s">
        <v>161</v>
      </c>
      <c r="C87" t="s">
        <v>159</v>
      </c>
      <c r="D87">
        <v>1</v>
      </c>
      <c r="E87">
        <v>71470</v>
      </c>
      <c r="F87" s="12">
        <v>45737</v>
      </c>
    </row>
    <row r="88" spans="1:6" x14ac:dyDescent="0.25">
      <c r="A88" t="s">
        <v>163</v>
      </c>
      <c r="B88" t="s">
        <v>164</v>
      </c>
      <c r="C88" t="s">
        <v>157</v>
      </c>
      <c r="D88">
        <v>4</v>
      </c>
      <c r="E88">
        <v>70150</v>
      </c>
      <c r="F88" s="12">
        <v>45661</v>
      </c>
    </row>
    <row r="89" spans="1:6" x14ac:dyDescent="0.25">
      <c r="A89" t="s">
        <v>155</v>
      </c>
      <c r="B89" t="s">
        <v>161</v>
      </c>
      <c r="C89" t="s">
        <v>167</v>
      </c>
      <c r="D89">
        <v>4</v>
      </c>
      <c r="E89">
        <v>71280</v>
      </c>
      <c r="F89" s="12">
        <v>45719</v>
      </c>
    </row>
    <row r="90" spans="1:6" x14ac:dyDescent="0.25">
      <c r="A90" t="s">
        <v>160</v>
      </c>
      <c r="B90" t="s">
        <v>161</v>
      </c>
      <c r="C90" t="s">
        <v>157</v>
      </c>
      <c r="D90">
        <v>5</v>
      </c>
      <c r="E90">
        <v>52780</v>
      </c>
      <c r="F90" s="12">
        <v>45660</v>
      </c>
    </row>
    <row r="91" spans="1:6" x14ac:dyDescent="0.25">
      <c r="A91" t="s">
        <v>166</v>
      </c>
      <c r="B91" t="s">
        <v>158</v>
      </c>
      <c r="C91" t="s">
        <v>165</v>
      </c>
      <c r="D91">
        <v>4</v>
      </c>
      <c r="E91">
        <v>65340</v>
      </c>
      <c r="F91" s="12">
        <v>45745</v>
      </c>
    </row>
    <row r="92" spans="1:6" x14ac:dyDescent="0.25">
      <c r="A92" t="s">
        <v>168</v>
      </c>
      <c r="B92" t="s">
        <v>161</v>
      </c>
      <c r="C92" t="s">
        <v>159</v>
      </c>
      <c r="D92">
        <v>1</v>
      </c>
      <c r="E92">
        <v>93600</v>
      </c>
      <c r="F92" s="12">
        <v>45703</v>
      </c>
    </row>
    <row r="93" spans="1:6" x14ac:dyDescent="0.25">
      <c r="A93" t="s">
        <v>163</v>
      </c>
      <c r="B93" t="s">
        <v>164</v>
      </c>
      <c r="C93" t="s">
        <v>162</v>
      </c>
      <c r="D93">
        <v>4</v>
      </c>
      <c r="E93">
        <v>88530</v>
      </c>
      <c r="F93" s="12">
        <v>45689</v>
      </c>
    </row>
    <row r="94" spans="1:6" x14ac:dyDescent="0.25">
      <c r="A94" t="s">
        <v>155</v>
      </c>
      <c r="B94" t="s">
        <v>164</v>
      </c>
      <c r="C94" t="s">
        <v>167</v>
      </c>
      <c r="D94">
        <v>4</v>
      </c>
      <c r="E94">
        <v>63040</v>
      </c>
      <c r="F94" s="12">
        <v>45682</v>
      </c>
    </row>
    <row r="95" spans="1:6" x14ac:dyDescent="0.25">
      <c r="A95" t="s">
        <v>166</v>
      </c>
      <c r="B95" t="s">
        <v>164</v>
      </c>
      <c r="C95" t="s">
        <v>162</v>
      </c>
      <c r="D95">
        <v>2</v>
      </c>
      <c r="E95">
        <v>97820</v>
      </c>
      <c r="F95" s="12">
        <v>45685</v>
      </c>
    </row>
    <row r="96" spans="1:6" x14ac:dyDescent="0.25">
      <c r="A96" t="s">
        <v>168</v>
      </c>
      <c r="B96" t="s">
        <v>164</v>
      </c>
      <c r="C96" t="s">
        <v>159</v>
      </c>
      <c r="D96">
        <v>3</v>
      </c>
      <c r="E96">
        <v>59980</v>
      </c>
      <c r="F96" s="12">
        <v>45701</v>
      </c>
    </row>
    <row r="97" spans="1:6" x14ac:dyDescent="0.25">
      <c r="A97" t="s">
        <v>163</v>
      </c>
      <c r="B97" t="s">
        <v>158</v>
      </c>
      <c r="C97" t="s">
        <v>159</v>
      </c>
      <c r="D97">
        <v>2</v>
      </c>
      <c r="E97">
        <v>67720</v>
      </c>
      <c r="F97" s="12">
        <v>45715</v>
      </c>
    </row>
    <row r="98" spans="1:6" x14ac:dyDescent="0.25">
      <c r="A98" t="s">
        <v>160</v>
      </c>
      <c r="B98" t="s">
        <v>161</v>
      </c>
      <c r="C98" t="s">
        <v>157</v>
      </c>
      <c r="D98">
        <v>5</v>
      </c>
      <c r="E98">
        <v>87320</v>
      </c>
      <c r="F98" s="12">
        <v>45730</v>
      </c>
    </row>
    <row r="99" spans="1:6" x14ac:dyDescent="0.25">
      <c r="A99" t="s">
        <v>155</v>
      </c>
      <c r="B99" t="s">
        <v>161</v>
      </c>
      <c r="C99" t="s">
        <v>159</v>
      </c>
      <c r="D99">
        <v>5</v>
      </c>
      <c r="E99">
        <v>52740</v>
      </c>
      <c r="F99" s="12">
        <v>45700</v>
      </c>
    </row>
    <row r="100" spans="1:6" x14ac:dyDescent="0.25">
      <c r="A100" t="s">
        <v>168</v>
      </c>
      <c r="B100" t="s">
        <v>156</v>
      </c>
      <c r="C100" t="s">
        <v>167</v>
      </c>
      <c r="D100">
        <v>5</v>
      </c>
      <c r="E100">
        <v>65170</v>
      </c>
      <c r="F100" s="12">
        <v>45687</v>
      </c>
    </row>
    <row r="101" spans="1:6" x14ac:dyDescent="0.25">
      <c r="A101" t="s">
        <v>155</v>
      </c>
      <c r="B101" t="s">
        <v>164</v>
      </c>
      <c r="C101" t="s">
        <v>157</v>
      </c>
      <c r="D101">
        <v>4</v>
      </c>
      <c r="E101">
        <v>72340</v>
      </c>
      <c r="F101" s="12">
        <v>45732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6D0CA-6341-49F1-A1E8-C571D5832147}">
  <dimension ref="A1:M102"/>
  <sheetViews>
    <sheetView topLeftCell="A84" workbookViewId="0">
      <selection activeCell="E101" sqref="E101"/>
    </sheetView>
  </sheetViews>
  <sheetFormatPr defaultRowHeight="15" x14ac:dyDescent="0.25"/>
  <cols>
    <col min="3" max="3" width="10" customWidth="1"/>
    <col min="5" max="5" width="10" customWidth="1"/>
    <col min="6" max="6" width="15.42578125" style="12" customWidth="1"/>
    <col min="13" max="13" width="22.85546875" customWidth="1"/>
    <col min="14" max="14" width="23.140625" customWidth="1"/>
  </cols>
  <sheetData>
    <row r="1" spans="1:13" x14ac:dyDescent="0.25">
      <c r="A1" t="s">
        <v>150</v>
      </c>
      <c r="B1" t="s">
        <v>151</v>
      </c>
      <c r="C1" t="s">
        <v>152</v>
      </c>
      <c r="D1" t="s">
        <v>153</v>
      </c>
      <c r="E1" t="s">
        <v>154</v>
      </c>
      <c r="F1" s="12" t="s">
        <v>144</v>
      </c>
    </row>
    <row r="2" spans="1:13" x14ac:dyDescent="0.25">
      <c r="A2" t="s">
        <v>160</v>
      </c>
      <c r="B2" t="s">
        <v>156</v>
      </c>
      <c r="C2" t="s">
        <v>162</v>
      </c>
      <c r="D2">
        <v>3</v>
      </c>
      <c r="E2">
        <v>99590</v>
      </c>
      <c r="F2" s="12">
        <v>45669</v>
      </c>
    </row>
    <row r="3" spans="1:13" x14ac:dyDescent="0.25">
      <c r="A3" t="s">
        <v>166</v>
      </c>
      <c r="B3" t="s">
        <v>161</v>
      </c>
      <c r="C3" t="s">
        <v>165</v>
      </c>
      <c r="D3">
        <v>6</v>
      </c>
      <c r="E3">
        <v>93600</v>
      </c>
      <c r="F3" s="12">
        <v>45695</v>
      </c>
      <c r="M3" s="17"/>
    </row>
    <row r="4" spans="1:13" x14ac:dyDescent="0.25">
      <c r="A4" t="s">
        <v>168</v>
      </c>
      <c r="B4" t="s">
        <v>164</v>
      </c>
      <c r="C4" t="s">
        <v>159</v>
      </c>
      <c r="D4">
        <v>1</v>
      </c>
      <c r="E4">
        <v>92480</v>
      </c>
      <c r="F4" s="12">
        <v>45678</v>
      </c>
      <c r="M4" s="17"/>
    </row>
    <row r="5" spans="1:13" x14ac:dyDescent="0.25">
      <c r="A5" t="s">
        <v>168</v>
      </c>
      <c r="B5" t="s">
        <v>164</v>
      </c>
      <c r="C5" t="s">
        <v>165</v>
      </c>
      <c r="D5">
        <v>6</v>
      </c>
      <c r="E5">
        <v>84870</v>
      </c>
      <c r="F5" s="12">
        <v>45741</v>
      </c>
      <c r="M5" s="17"/>
    </row>
    <row r="6" spans="1:13" x14ac:dyDescent="0.25">
      <c r="A6" t="s">
        <v>163</v>
      </c>
      <c r="B6" t="s">
        <v>164</v>
      </c>
      <c r="C6" t="s">
        <v>159</v>
      </c>
      <c r="D6">
        <v>3</v>
      </c>
      <c r="E6">
        <v>59650</v>
      </c>
      <c r="F6" s="12">
        <v>45708</v>
      </c>
      <c r="M6" s="17"/>
    </row>
    <row r="7" spans="1:13" x14ac:dyDescent="0.25">
      <c r="A7" t="s">
        <v>155</v>
      </c>
      <c r="B7" t="s">
        <v>156</v>
      </c>
      <c r="C7" t="s">
        <v>159</v>
      </c>
      <c r="D7">
        <v>6</v>
      </c>
      <c r="E7">
        <v>57300</v>
      </c>
      <c r="F7" s="12">
        <v>45665</v>
      </c>
      <c r="M7" s="17"/>
    </row>
    <row r="8" spans="1:13" x14ac:dyDescent="0.25">
      <c r="A8" t="s">
        <v>155</v>
      </c>
      <c r="B8" t="s">
        <v>158</v>
      </c>
      <c r="C8" t="s">
        <v>167</v>
      </c>
      <c r="D8">
        <v>2</v>
      </c>
      <c r="E8">
        <v>83910</v>
      </c>
      <c r="F8" s="12">
        <v>45741</v>
      </c>
    </row>
    <row r="9" spans="1:13" x14ac:dyDescent="0.25">
      <c r="A9" t="s">
        <v>163</v>
      </c>
      <c r="B9" t="s">
        <v>156</v>
      </c>
      <c r="C9" t="s">
        <v>157</v>
      </c>
      <c r="D9">
        <v>5</v>
      </c>
      <c r="E9">
        <v>81810</v>
      </c>
      <c r="F9" s="12">
        <v>45685</v>
      </c>
    </row>
    <row r="10" spans="1:13" x14ac:dyDescent="0.25">
      <c r="A10" t="s">
        <v>166</v>
      </c>
      <c r="B10" t="s">
        <v>156</v>
      </c>
      <c r="C10" t="s">
        <v>157</v>
      </c>
      <c r="D10">
        <v>1</v>
      </c>
      <c r="E10">
        <v>70650</v>
      </c>
      <c r="F10" s="12">
        <v>45659</v>
      </c>
    </row>
    <row r="11" spans="1:13" x14ac:dyDescent="0.25">
      <c r="A11" t="s">
        <v>155</v>
      </c>
      <c r="B11" t="s">
        <v>156</v>
      </c>
      <c r="C11" t="s">
        <v>162</v>
      </c>
      <c r="D11">
        <v>4</v>
      </c>
      <c r="E11">
        <v>53750</v>
      </c>
      <c r="F11" s="12">
        <v>45708</v>
      </c>
    </row>
    <row r="12" spans="1:13" x14ac:dyDescent="0.25">
      <c r="A12" t="s">
        <v>166</v>
      </c>
      <c r="B12" t="s">
        <v>158</v>
      </c>
      <c r="C12" t="s">
        <v>165</v>
      </c>
      <c r="D12">
        <v>4</v>
      </c>
      <c r="E12">
        <v>84320</v>
      </c>
      <c r="F12" s="12">
        <v>45694</v>
      </c>
    </row>
    <row r="13" spans="1:13" x14ac:dyDescent="0.25">
      <c r="A13" t="s">
        <v>155</v>
      </c>
      <c r="B13" t="s">
        <v>158</v>
      </c>
      <c r="C13" t="s">
        <v>165</v>
      </c>
      <c r="D13">
        <v>1</v>
      </c>
      <c r="E13">
        <v>79860</v>
      </c>
      <c r="F13" s="12">
        <v>45697</v>
      </c>
    </row>
    <row r="14" spans="1:13" x14ac:dyDescent="0.25">
      <c r="A14" t="s">
        <v>163</v>
      </c>
      <c r="B14" t="s">
        <v>161</v>
      </c>
      <c r="C14" t="s">
        <v>159</v>
      </c>
      <c r="D14">
        <v>3</v>
      </c>
      <c r="E14">
        <v>88160</v>
      </c>
      <c r="F14" s="12">
        <v>45672</v>
      </c>
    </row>
    <row r="15" spans="1:13" x14ac:dyDescent="0.25">
      <c r="A15" t="s">
        <v>168</v>
      </c>
      <c r="B15" t="s">
        <v>164</v>
      </c>
      <c r="C15" t="s">
        <v>167</v>
      </c>
      <c r="D15">
        <v>3</v>
      </c>
      <c r="E15">
        <v>71020</v>
      </c>
      <c r="F15" s="12">
        <v>45709</v>
      </c>
    </row>
    <row r="16" spans="1:13" x14ac:dyDescent="0.25">
      <c r="A16" t="s">
        <v>155</v>
      </c>
      <c r="B16" t="s">
        <v>164</v>
      </c>
      <c r="C16" t="s">
        <v>157</v>
      </c>
      <c r="D16">
        <v>1</v>
      </c>
      <c r="E16">
        <v>54200</v>
      </c>
      <c r="F16" s="12">
        <v>45687</v>
      </c>
    </row>
    <row r="17" spans="1:6" x14ac:dyDescent="0.25">
      <c r="A17" t="s">
        <v>160</v>
      </c>
      <c r="B17" t="s">
        <v>164</v>
      </c>
      <c r="C17" t="s">
        <v>159</v>
      </c>
      <c r="D17">
        <v>5</v>
      </c>
      <c r="E17">
        <v>58660</v>
      </c>
      <c r="F17" s="12">
        <v>45672</v>
      </c>
    </row>
    <row r="18" spans="1:6" x14ac:dyDescent="0.25">
      <c r="A18" t="s">
        <v>168</v>
      </c>
      <c r="B18" t="s">
        <v>156</v>
      </c>
      <c r="C18" t="s">
        <v>157</v>
      </c>
      <c r="D18">
        <v>1</v>
      </c>
      <c r="E18">
        <v>67010</v>
      </c>
      <c r="F18" s="12">
        <v>45708</v>
      </c>
    </row>
    <row r="19" spans="1:6" x14ac:dyDescent="0.25">
      <c r="A19" t="s">
        <v>168</v>
      </c>
      <c r="B19" t="s">
        <v>156</v>
      </c>
      <c r="C19" t="s">
        <v>159</v>
      </c>
      <c r="D19">
        <v>6</v>
      </c>
      <c r="E19">
        <v>95090</v>
      </c>
      <c r="F19" s="12">
        <v>45698</v>
      </c>
    </row>
    <row r="20" spans="1:6" x14ac:dyDescent="0.25">
      <c r="A20" t="s">
        <v>160</v>
      </c>
      <c r="B20" t="s">
        <v>158</v>
      </c>
      <c r="C20" t="s">
        <v>162</v>
      </c>
      <c r="D20">
        <v>1</v>
      </c>
      <c r="E20">
        <v>52280</v>
      </c>
      <c r="F20" s="12">
        <v>45661</v>
      </c>
    </row>
    <row r="21" spans="1:6" x14ac:dyDescent="0.25">
      <c r="A21" t="s">
        <v>163</v>
      </c>
      <c r="B21" t="s">
        <v>156</v>
      </c>
      <c r="C21" t="s">
        <v>159</v>
      </c>
      <c r="D21">
        <v>4</v>
      </c>
      <c r="E21">
        <v>97670</v>
      </c>
      <c r="F21" s="12">
        <v>45716</v>
      </c>
    </row>
    <row r="22" spans="1:6" x14ac:dyDescent="0.25">
      <c r="A22" t="s">
        <v>155</v>
      </c>
      <c r="B22" t="s">
        <v>161</v>
      </c>
      <c r="C22" t="s">
        <v>157</v>
      </c>
      <c r="D22">
        <v>6</v>
      </c>
      <c r="E22">
        <v>74990</v>
      </c>
      <c r="F22" s="12">
        <v>45697</v>
      </c>
    </row>
    <row r="23" spans="1:6" x14ac:dyDescent="0.25">
      <c r="A23" t="s">
        <v>168</v>
      </c>
      <c r="B23" t="s">
        <v>161</v>
      </c>
      <c r="C23" t="s">
        <v>165</v>
      </c>
      <c r="D23">
        <v>5</v>
      </c>
      <c r="E23">
        <v>70050</v>
      </c>
      <c r="F23" s="12">
        <v>45672</v>
      </c>
    </row>
    <row r="24" spans="1:6" x14ac:dyDescent="0.25">
      <c r="A24" t="s">
        <v>155</v>
      </c>
      <c r="B24" t="s">
        <v>158</v>
      </c>
      <c r="C24" t="s">
        <v>159</v>
      </c>
      <c r="D24">
        <v>6</v>
      </c>
      <c r="E24">
        <v>62820</v>
      </c>
      <c r="F24" s="12">
        <v>45708</v>
      </c>
    </row>
    <row r="25" spans="1:6" x14ac:dyDescent="0.25">
      <c r="A25" t="s">
        <v>168</v>
      </c>
      <c r="B25" t="s">
        <v>164</v>
      </c>
      <c r="C25" t="s">
        <v>157</v>
      </c>
      <c r="D25">
        <v>2</v>
      </c>
      <c r="E25">
        <v>80400</v>
      </c>
      <c r="F25" s="12">
        <v>45666</v>
      </c>
    </row>
    <row r="26" spans="1:6" x14ac:dyDescent="0.25">
      <c r="A26" t="s">
        <v>168</v>
      </c>
      <c r="B26" t="s">
        <v>158</v>
      </c>
      <c r="C26" t="s">
        <v>162</v>
      </c>
      <c r="D26">
        <v>6</v>
      </c>
      <c r="E26">
        <v>88020</v>
      </c>
      <c r="F26" s="12">
        <v>45734</v>
      </c>
    </row>
    <row r="27" spans="1:6" x14ac:dyDescent="0.25">
      <c r="A27" t="s">
        <v>155</v>
      </c>
      <c r="B27" t="s">
        <v>161</v>
      </c>
      <c r="C27" t="s">
        <v>159</v>
      </c>
      <c r="D27">
        <v>3</v>
      </c>
      <c r="E27">
        <v>63480</v>
      </c>
      <c r="F27" s="12">
        <v>45686</v>
      </c>
    </row>
    <row r="28" spans="1:6" x14ac:dyDescent="0.25">
      <c r="A28" t="s">
        <v>160</v>
      </c>
      <c r="B28" t="s">
        <v>164</v>
      </c>
      <c r="C28" t="s">
        <v>165</v>
      </c>
      <c r="D28">
        <v>6</v>
      </c>
      <c r="E28">
        <v>52400</v>
      </c>
      <c r="F28" s="12">
        <v>45705</v>
      </c>
    </row>
    <row r="29" spans="1:6" x14ac:dyDescent="0.25">
      <c r="A29" t="s">
        <v>166</v>
      </c>
      <c r="B29" t="s">
        <v>158</v>
      </c>
      <c r="C29" t="s">
        <v>157</v>
      </c>
      <c r="D29">
        <v>3</v>
      </c>
      <c r="E29">
        <v>84980</v>
      </c>
      <c r="F29" s="12">
        <v>45695</v>
      </c>
    </row>
    <row r="30" spans="1:6" x14ac:dyDescent="0.25">
      <c r="A30" t="s">
        <v>163</v>
      </c>
      <c r="B30" t="s">
        <v>158</v>
      </c>
      <c r="C30" t="s">
        <v>165</v>
      </c>
      <c r="D30">
        <v>6</v>
      </c>
      <c r="E30">
        <v>84370</v>
      </c>
      <c r="F30" s="12">
        <v>45731</v>
      </c>
    </row>
    <row r="31" spans="1:6" x14ac:dyDescent="0.25">
      <c r="A31" t="s">
        <v>155</v>
      </c>
      <c r="B31" t="s">
        <v>164</v>
      </c>
      <c r="C31" t="s">
        <v>165</v>
      </c>
      <c r="D31">
        <v>4</v>
      </c>
      <c r="E31">
        <v>60220</v>
      </c>
      <c r="F31" s="12">
        <v>45719</v>
      </c>
    </row>
    <row r="32" spans="1:6" x14ac:dyDescent="0.25">
      <c r="A32" t="s">
        <v>155</v>
      </c>
      <c r="B32" t="s">
        <v>158</v>
      </c>
      <c r="C32" t="s">
        <v>162</v>
      </c>
      <c r="D32">
        <v>2</v>
      </c>
      <c r="E32">
        <v>80660</v>
      </c>
      <c r="F32" s="12">
        <v>45701</v>
      </c>
    </row>
    <row r="33" spans="1:6" x14ac:dyDescent="0.25">
      <c r="A33" t="s">
        <v>168</v>
      </c>
      <c r="B33" t="s">
        <v>158</v>
      </c>
      <c r="C33" t="s">
        <v>162</v>
      </c>
      <c r="D33">
        <v>1</v>
      </c>
      <c r="E33">
        <v>78220</v>
      </c>
      <c r="F33" s="12">
        <v>45713</v>
      </c>
    </row>
    <row r="34" spans="1:6" x14ac:dyDescent="0.25">
      <c r="A34" t="s">
        <v>155</v>
      </c>
      <c r="B34" t="s">
        <v>161</v>
      </c>
      <c r="C34" t="s">
        <v>157</v>
      </c>
      <c r="D34">
        <v>3</v>
      </c>
      <c r="E34">
        <v>62210</v>
      </c>
      <c r="F34" s="12">
        <v>45663</v>
      </c>
    </row>
    <row r="35" spans="1:6" x14ac:dyDescent="0.25">
      <c r="A35" t="s">
        <v>160</v>
      </c>
      <c r="B35" t="s">
        <v>161</v>
      </c>
      <c r="C35" t="s">
        <v>165</v>
      </c>
      <c r="D35">
        <v>1</v>
      </c>
      <c r="E35">
        <v>89380</v>
      </c>
      <c r="F35" s="12">
        <v>45696</v>
      </c>
    </row>
    <row r="36" spans="1:6" x14ac:dyDescent="0.25">
      <c r="A36" t="s">
        <v>168</v>
      </c>
      <c r="B36" t="s">
        <v>156</v>
      </c>
      <c r="C36" t="s">
        <v>157</v>
      </c>
      <c r="D36">
        <v>5</v>
      </c>
      <c r="E36">
        <v>67330</v>
      </c>
      <c r="F36" s="12">
        <v>45706</v>
      </c>
    </row>
    <row r="37" spans="1:6" x14ac:dyDescent="0.25">
      <c r="A37" t="s">
        <v>160</v>
      </c>
      <c r="B37" t="s">
        <v>156</v>
      </c>
      <c r="C37" t="s">
        <v>162</v>
      </c>
      <c r="D37">
        <v>5</v>
      </c>
      <c r="E37">
        <v>80880</v>
      </c>
      <c r="F37" s="12">
        <v>45736</v>
      </c>
    </row>
    <row r="38" spans="1:6" x14ac:dyDescent="0.25">
      <c r="A38" t="s">
        <v>168</v>
      </c>
      <c r="B38" t="s">
        <v>158</v>
      </c>
      <c r="C38" t="s">
        <v>162</v>
      </c>
      <c r="D38">
        <v>1</v>
      </c>
      <c r="E38">
        <v>62610</v>
      </c>
      <c r="F38" s="12">
        <v>45706</v>
      </c>
    </row>
    <row r="39" spans="1:6" x14ac:dyDescent="0.25">
      <c r="A39" t="s">
        <v>163</v>
      </c>
      <c r="B39" t="s">
        <v>161</v>
      </c>
      <c r="C39" t="s">
        <v>162</v>
      </c>
      <c r="D39">
        <v>2</v>
      </c>
      <c r="E39">
        <v>95860</v>
      </c>
      <c r="F39" s="12">
        <v>45688</v>
      </c>
    </row>
    <row r="40" spans="1:6" x14ac:dyDescent="0.25">
      <c r="A40" t="s">
        <v>163</v>
      </c>
      <c r="B40" t="s">
        <v>161</v>
      </c>
      <c r="C40" t="s">
        <v>157</v>
      </c>
      <c r="D40">
        <v>2</v>
      </c>
      <c r="E40">
        <v>91690</v>
      </c>
      <c r="F40" s="12">
        <v>45676</v>
      </c>
    </row>
    <row r="41" spans="1:6" x14ac:dyDescent="0.25">
      <c r="A41" t="s">
        <v>163</v>
      </c>
      <c r="B41" t="s">
        <v>164</v>
      </c>
      <c r="C41" t="s">
        <v>157</v>
      </c>
      <c r="D41">
        <v>2</v>
      </c>
      <c r="E41">
        <v>76080</v>
      </c>
      <c r="F41" s="12">
        <v>45662</v>
      </c>
    </row>
    <row r="42" spans="1:6" x14ac:dyDescent="0.25">
      <c r="A42" t="s">
        <v>168</v>
      </c>
      <c r="B42" t="s">
        <v>158</v>
      </c>
      <c r="C42" t="s">
        <v>167</v>
      </c>
      <c r="D42">
        <v>3</v>
      </c>
      <c r="E42">
        <v>83990</v>
      </c>
      <c r="F42" s="12">
        <v>45669</v>
      </c>
    </row>
    <row r="43" spans="1:6" x14ac:dyDescent="0.25">
      <c r="A43" t="s">
        <v>168</v>
      </c>
      <c r="B43" t="s">
        <v>164</v>
      </c>
      <c r="C43" t="s">
        <v>157</v>
      </c>
      <c r="D43">
        <v>4</v>
      </c>
      <c r="E43">
        <v>82550</v>
      </c>
      <c r="F43" s="12">
        <v>45727</v>
      </c>
    </row>
    <row r="44" spans="1:6" x14ac:dyDescent="0.25">
      <c r="A44" t="s">
        <v>163</v>
      </c>
      <c r="B44" t="s">
        <v>161</v>
      </c>
      <c r="C44" t="s">
        <v>162</v>
      </c>
      <c r="D44">
        <v>6</v>
      </c>
      <c r="E44">
        <v>90660</v>
      </c>
      <c r="F44" s="12">
        <v>45666</v>
      </c>
    </row>
    <row r="45" spans="1:6" x14ac:dyDescent="0.25">
      <c r="A45" t="s">
        <v>155</v>
      </c>
      <c r="B45" t="s">
        <v>164</v>
      </c>
      <c r="C45" t="s">
        <v>162</v>
      </c>
      <c r="D45">
        <v>3</v>
      </c>
      <c r="E45">
        <v>72580</v>
      </c>
      <c r="F45" s="12">
        <v>45706</v>
      </c>
    </row>
    <row r="46" spans="1:6" x14ac:dyDescent="0.25">
      <c r="A46" t="s">
        <v>160</v>
      </c>
      <c r="B46" t="s">
        <v>161</v>
      </c>
      <c r="C46" t="s">
        <v>157</v>
      </c>
      <c r="D46">
        <v>4</v>
      </c>
      <c r="E46">
        <v>88250</v>
      </c>
      <c r="F46" s="12">
        <v>45680</v>
      </c>
    </row>
    <row r="47" spans="1:6" x14ac:dyDescent="0.25">
      <c r="A47" t="s">
        <v>155</v>
      </c>
      <c r="B47" t="s">
        <v>164</v>
      </c>
      <c r="C47" t="s">
        <v>159</v>
      </c>
      <c r="D47">
        <v>5</v>
      </c>
      <c r="E47">
        <v>85220</v>
      </c>
      <c r="F47" s="12">
        <v>45730</v>
      </c>
    </row>
    <row r="48" spans="1:6" x14ac:dyDescent="0.25">
      <c r="A48" t="s">
        <v>168</v>
      </c>
      <c r="B48" t="s">
        <v>164</v>
      </c>
      <c r="C48" t="s">
        <v>162</v>
      </c>
      <c r="D48">
        <v>5</v>
      </c>
      <c r="E48">
        <v>65870</v>
      </c>
      <c r="F48" s="12">
        <v>45671</v>
      </c>
    </row>
    <row r="49" spans="1:6" x14ac:dyDescent="0.25">
      <c r="A49" t="s">
        <v>160</v>
      </c>
      <c r="B49" t="s">
        <v>158</v>
      </c>
      <c r="C49" t="s">
        <v>162</v>
      </c>
      <c r="D49">
        <v>1</v>
      </c>
      <c r="E49">
        <v>96040</v>
      </c>
      <c r="F49" s="12">
        <v>45736</v>
      </c>
    </row>
    <row r="50" spans="1:6" x14ac:dyDescent="0.25">
      <c r="A50" t="s">
        <v>160</v>
      </c>
      <c r="B50" t="s">
        <v>164</v>
      </c>
      <c r="C50" t="s">
        <v>167</v>
      </c>
      <c r="D50">
        <v>1</v>
      </c>
      <c r="E50">
        <v>77870</v>
      </c>
      <c r="F50" s="12">
        <v>45717</v>
      </c>
    </row>
    <row r="51" spans="1:6" x14ac:dyDescent="0.25">
      <c r="A51" t="s">
        <v>155</v>
      </c>
      <c r="B51" t="s">
        <v>156</v>
      </c>
      <c r="C51" t="s">
        <v>159</v>
      </c>
      <c r="D51">
        <v>6</v>
      </c>
      <c r="E51">
        <v>74760</v>
      </c>
      <c r="F51" s="12">
        <v>45717</v>
      </c>
    </row>
    <row r="52" spans="1:6" x14ac:dyDescent="0.25">
      <c r="A52" t="s">
        <v>166</v>
      </c>
      <c r="B52" t="s">
        <v>161</v>
      </c>
      <c r="C52" t="s">
        <v>167</v>
      </c>
      <c r="D52">
        <v>4</v>
      </c>
      <c r="E52">
        <v>54590</v>
      </c>
      <c r="F52" s="12">
        <v>45664</v>
      </c>
    </row>
    <row r="53" spans="1:6" x14ac:dyDescent="0.25">
      <c r="A53" t="s">
        <v>168</v>
      </c>
      <c r="B53" t="s">
        <v>158</v>
      </c>
      <c r="C53" t="s">
        <v>167</v>
      </c>
      <c r="D53">
        <v>4</v>
      </c>
      <c r="E53">
        <v>94890</v>
      </c>
      <c r="F53" s="12">
        <v>45659</v>
      </c>
    </row>
    <row r="54" spans="1:6" x14ac:dyDescent="0.25">
      <c r="A54" t="s">
        <v>160</v>
      </c>
      <c r="B54" t="s">
        <v>156</v>
      </c>
      <c r="C54" t="s">
        <v>162</v>
      </c>
      <c r="D54">
        <v>2</v>
      </c>
      <c r="E54">
        <v>64110</v>
      </c>
      <c r="F54" s="12">
        <v>45743</v>
      </c>
    </row>
    <row r="55" spans="1:6" x14ac:dyDescent="0.25">
      <c r="A55" t="s">
        <v>168</v>
      </c>
      <c r="B55" t="s">
        <v>158</v>
      </c>
      <c r="C55" t="s">
        <v>159</v>
      </c>
      <c r="D55">
        <v>3</v>
      </c>
      <c r="E55">
        <v>81540</v>
      </c>
      <c r="F55" s="12">
        <v>45675</v>
      </c>
    </row>
    <row r="56" spans="1:6" x14ac:dyDescent="0.25">
      <c r="A56" t="s">
        <v>163</v>
      </c>
      <c r="B56" t="s">
        <v>161</v>
      </c>
      <c r="C56" t="s">
        <v>165</v>
      </c>
      <c r="D56">
        <v>4</v>
      </c>
      <c r="E56">
        <v>90290</v>
      </c>
      <c r="F56" s="12">
        <v>45690</v>
      </c>
    </row>
    <row r="57" spans="1:6" x14ac:dyDescent="0.25">
      <c r="A57" t="s">
        <v>168</v>
      </c>
      <c r="B57" t="s">
        <v>164</v>
      </c>
      <c r="C57" t="s">
        <v>159</v>
      </c>
      <c r="D57">
        <v>1</v>
      </c>
      <c r="E57">
        <v>89670</v>
      </c>
      <c r="F57" s="12">
        <v>45745</v>
      </c>
    </row>
    <row r="58" spans="1:6" x14ac:dyDescent="0.25">
      <c r="A58" t="s">
        <v>163</v>
      </c>
      <c r="B58" t="s">
        <v>156</v>
      </c>
      <c r="C58" t="s">
        <v>157</v>
      </c>
      <c r="D58">
        <v>3</v>
      </c>
      <c r="E58">
        <v>53430</v>
      </c>
      <c r="F58" s="12">
        <v>45726</v>
      </c>
    </row>
    <row r="59" spans="1:6" x14ac:dyDescent="0.25">
      <c r="A59" t="s">
        <v>155</v>
      </c>
      <c r="B59" t="s">
        <v>156</v>
      </c>
      <c r="C59" t="s">
        <v>167</v>
      </c>
      <c r="D59">
        <v>3</v>
      </c>
      <c r="E59">
        <v>83070</v>
      </c>
      <c r="F59" s="12">
        <v>45724</v>
      </c>
    </row>
    <row r="60" spans="1:6" x14ac:dyDescent="0.25">
      <c r="A60" t="s">
        <v>163</v>
      </c>
      <c r="B60" t="s">
        <v>156</v>
      </c>
      <c r="C60" t="s">
        <v>162</v>
      </c>
      <c r="D60">
        <v>4</v>
      </c>
      <c r="E60">
        <v>86990</v>
      </c>
      <c r="F60" s="12">
        <v>45679</v>
      </c>
    </row>
    <row r="61" spans="1:6" x14ac:dyDescent="0.25">
      <c r="A61" t="s">
        <v>166</v>
      </c>
      <c r="B61" t="s">
        <v>158</v>
      </c>
      <c r="C61" t="s">
        <v>159</v>
      </c>
      <c r="D61">
        <v>3</v>
      </c>
      <c r="E61">
        <v>66530</v>
      </c>
      <c r="F61" s="12">
        <v>45690</v>
      </c>
    </row>
    <row r="62" spans="1:6" x14ac:dyDescent="0.25">
      <c r="A62" t="s">
        <v>166</v>
      </c>
      <c r="B62" t="s">
        <v>161</v>
      </c>
      <c r="C62" t="s">
        <v>167</v>
      </c>
      <c r="D62">
        <v>3</v>
      </c>
      <c r="E62">
        <v>92810</v>
      </c>
      <c r="F62" s="12">
        <v>45695</v>
      </c>
    </row>
    <row r="63" spans="1:6" x14ac:dyDescent="0.25">
      <c r="A63" t="s">
        <v>160</v>
      </c>
      <c r="B63" t="s">
        <v>161</v>
      </c>
      <c r="C63" t="s">
        <v>159</v>
      </c>
      <c r="D63">
        <v>3</v>
      </c>
      <c r="E63">
        <v>98920</v>
      </c>
      <c r="F63" s="12">
        <v>45658</v>
      </c>
    </row>
    <row r="64" spans="1:6" x14ac:dyDescent="0.25">
      <c r="A64" t="s">
        <v>160</v>
      </c>
      <c r="B64" t="s">
        <v>158</v>
      </c>
      <c r="C64" t="s">
        <v>159</v>
      </c>
      <c r="D64">
        <v>3</v>
      </c>
      <c r="E64">
        <v>95080</v>
      </c>
      <c r="F64" s="12">
        <v>45696</v>
      </c>
    </row>
    <row r="65" spans="1:6" x14ac:dyDescent="0.25">
      <c r="A65" t="s">
        <v>163</v>
      </c>
      <c r="B65" t="s">
        <v>158</v>
      </c>
      <c r="C65" t="s">
        <v>159</v>
      </c>
      <c r="D65">
        <v>3</v>
      </c>
      <c r="E65">
        <v>53630</v>
      </c>
      <c r="F65" s="12">
        <v>45700</v>
      </c>
    </row>
    <row r="66" spans="1:6" x14ac:dyDescent="0.25">
      <c r="A66" t="s">
        <v>163</v>
      </c>
      <c r="B66" t="s">
        <v>156</v>
      </c>
      <c r="C66" t="s">
        <v>159</v>
      </c>
      <c r="D66">
        <v>1</v>
      </c>
      <c r="E66">
        <v>66750</v>
      </c>
      <c r="F66" s="12">
        <v>45680</v>
      </c>
    </row>
    <row r="67" spans="1:6" x14ac:dyDescent="0.25">
      <c r="A67" t="s">
        <v>155</v>
      </c>
      <c r="B67" t="s">
        <v>164</v>
      </c>
      <c r="C67" t="s">
        <v>159</v>
      </c>
      <c r="D67">
        <v>5</v>
      </c>
      <c r="E67">
        <v>68730</v>
      </c>
      <c r="F67" s="12">
        <v>45726</v>
      </c>
    </row>
    <row r="68" spans="1:6" x14ac:dyDescent="0.25">
      <c r="A68" t="s">
        <v>168</v>
      </c>
      <c r="B68" t="s">
        <v>156</v>
      </c>
      <c r="C68" t="s">
        <v>162</v>
      </c>
      <c r="D68">
        <v>2</v>
      </c>
      <c r="E68">
        <v>81740</v>
      </c>
      <c r="F68" s="12">
        <v>45716</v>
      </c>
    </row>
    <row r="69" spans="1:6" x14ac:dyDescent="0.25">
      <c r="A69" t="s">
        <v>166</v>
      </c>
      <c r="B69" t="s">
        <v>158</v>
      </c>
      <c r="C69" t="s">
        <v>159</v>
      </c>
      <c r="D69">
        <v>3</v>
      </c>
      <c r="E69">
        <v>68500</v>
      </c>
      <c r="F69" s="12">
        <v>45661</v>
      </c>
    </row>
    <row r="70" spans="1:6" x14ac:dyDescent="0.25">
      <c r="A70" t="s">
        <v>166</v>
      </c>
      <c r="B70" t="s">
        <v>156</v>
      </c>
      <c r="C70" t="s">
        <v>167</v>
      </c>
      <c r="D70">
        <v>2</v>
      </c>
      <c r="E70">
        <v>54310</v>
      </c>
      <c r="F70" s="12">
        <v>45676</v>
      </c>
    </row>
    <row r="71" spans="1:6" x14ac:dyDescent="0.25">
      <c r="A71" t="s">
        <v>168</v>
      </c>
      <c r="B71" t="s">
        <v>164</v>
      </c>
      <c r="C71" t="s">
        <v>167</v>
      </c>
      <c r="D71">
        <v>4</v>
      </c>
      <c r="E71">
        <v>77680</v>
      </c>
      <c r="F71" s="12">
        <v>45721</v>
      </c>
    </row>
    <row r="72" spans="1:6" x14ac:dyDescent="0.25">
      <c r="A72" t="s">
        <v>155</v>
      </c>
      <c r="B72" t="s">
        <v>164</v>
      </c>
      <c r="C72" t="s">
        <v>162</v>
      </c>
      <c r="D72">
        <v>5</v>
      </c>
      <c r="E72">
        <v>83450</v>
      </c>
      <c r="F72" s="12">
        <v>45712</v>
      </c>
    </row>
    <row r="73" spans="1:6" x14ac:dyDescent="0.25">
      <c r="A73" t="s">
        <v>168</v>
      </c>
      <c r="B73" t="s">
        <v>164</v>
      </c>
      <c r="C73" t="s">
        <v>162</v>
      </c>
      <c r="D73">
        <v>2</v>
      </c>
      <c r="E73">
        <v>97620</v>
      </c>
      <c r="F73" s="12">
        <v>45735</v>
      </c>
    </row>
    <row r="74" spans="1:6" x14ac:dyDescent="0.25">
      <c r="A74" t="s">
        <v>168</v>
      </c>
      <c r="B74" t="s">
        <v>158</v>
      </c>
      <c r="C74" t="s">
        <v>159</v>
      </c>
      <c r="D74">
        <v>4</v>
      </c>
      <c r="E74">
        <v>59270</v>
      </c>
      <c r="F74" s="12">
        <v>45701</v>
      </c>
    </row>
    <row r="75" spans="1:6" x14ac:dyDescent="0.25">
      <c r="A75" t="s">
        <v>166</v>
      </c>
      <c r="B75" t="s">
        <v>164</v>
      </c>
      <c r="C75" t="s">
        <v>159</v>
      </c>
      <c r="D75">
        <v>2</v>
      </c>
      <c r="E75">
        <v>53860</v>
      </c>
      <c r="F75" s="12">
        <v>45742</v>
      </c>
    </row>
    <row r="76" spans="1:6" x14ac:dyDescent="0.25">
      <c r="A76" t="s">
        <v>155</v>
      </c>
      <c r="B76" t="s">
        <v>156</v>
      </c>
      <c r="C76" t="s">
        <v>162</v>
      </c>
      <c r="D76">
        <v>6</v>
      </c>
      <c r="E76">
        <v>85350</v>
      </c>
      <c r="F76" s="12">
        <v>45720</v>
      </c>
    </row>
    <row r="77" spans="1:6" x14ac:dyDescent="0.25">
      <c r="A77" t="s">
        <v>163</v>
      </c>
      <c r="B77" t="s">
        <v>156</v>
      </c>
      <c r="C77" t="s">
        <v>165</v>
      </c>
      <c r="D77">
        <v>4</v>
      </c>
      <c r="E77">
        <v>75440</v>
      </c>
      <c r="F77" s="12">
        <v>45727</v>
      </c>
    </row>
    <row r="78" spans="1:6" x14ac:dyDescent="0.25">
      <c r="A78" t="s">
        <v>155</v>
      </c>
      <c r="B78" t="s">
        <v>156</v>
      </c>
      <c r="C78" t="s">
        <v>157</v>
      </c>
      <c r="D78">
        <v>5</v>
      </c>
      <c r="E78">
        <v>99890</v>
      </c>
      <c r="F78" s="12">
        <v>45742</v>
      </c>
    </row>
    <row r="79" spans="1:6" x14ac:dyDescent="0.25">
      <c r="A79" t="s">
        <v>160</v>
      </c>
      <c r="B79" t="s">
        <v>156</v>
      </c>
      <c r="C79" t="s">
        <v>162</v>
      </c>
      <c r="D79">
        <v>6</v>
      </c>
      <c r="E79">
        <v>75320</v>
      </c>
      <c r="F79" s="12">
        <v>45732</v>
      </c>
    </row>
    <row r="80" spans="1:6" x14ac:dyDescent="0.25">
      <c r="A80" t="s">
        <v>163</v>
      </c>
      <c r="B80" t="s">
        <v>158</v>
      </c>
      <c r="C80" t="s">
        <v>162</v>
      </c>
      <c r="D80">
        <v>6</v>
      </c>
      <c r="E80">
        <v>85690</v>
      </c>
      <c r="F80" s="12">
        <v>45661</v>
      </c>
    </row>
    <row r="81" spans="1:6" x14ac:dyDescent="0.25">
      <c r="A81" t="s">
        <v>160</v>
      </c>
      <c r="B81" t="s">
        <v>161</v>
      </c>
      <c r="C81" t="s">
        <v>162</v>
      </c>
      <c r="D81">
        <v>5</v>
      </c>
      <c r="E81">
        <v>94010</v>
      </c>
      <c r="F81" s="12">
        <v>45718</v>
      </c>
    </row>
    <row r="82" spans="1:6" x14ac:dyDescent="0.25">
      <c r="A82" t="s">
        <v>160</v>
      </c>
      <c r="B82" t="s">
        <v>161</v>
      </c>
      <c r="C82" t="s">
        <v>165</v>
      </c>
      <c r="D82">
        <v>6</v>
      </c>
      <c r="E82">
        <v>98610</v>
      </c>
      <c r="F82" s="12">
        <v>45726</v>
      </c>
    </row>
    <row r="83" spans="1:6" x14ac:dyDescent="0.25">
      <c r="A83" t="s">
        <v>160</v>
      </c>
      <c r="B83" t="s">
        <v>156</v>
      </c>
      <c r="C83" t="s">
        <v>167</v>
      </c>
      <c r="D83">
        <v>5</v>
      </c>
      <c r="E83">
        <v>79210</v>
      </c>
      <c r="F83" s="12">
        <v>45666</v>
      </c>
    </row>
    <row r="84" spans="1:6" x14ac:dyDescent="0.25">
      <c r="A84" t="s">
        <v>166</v>
      </c>
      <c r="B84" t="s">
        <v>164</v>
      </c>
      <c r="C84" t="s">
        <v>157</v>
      </c>
      <c r="D84">
        <v>3</v>
      </c>
      <c r="E84">
        <v>50400</v>
      </c>
      <c r="F84" s="12">
        <v>45739</v>
      </c>
    </row>
    <row r="85" spans="1:6" x14ac:dyDescent="0.25">
      <c r="A85" t="s">
        <v>166</v>
      </c>
      <c r="B85" t="s">
        <v>158</v>
      </c>
      <c r="C85" t="s">
        <v>167</v>
      </c>
      <c r="D85">
        <v>4</v>
      </c>
      <c r="E85">
        <v>94290</v>
      </c>
      <c r="F85" s="12">
        <v>45706</v>
      </c>
    </row>
    <row r="86" spans="1:6" x14ac:dyDescent="0.25">
      <c r="A86" t="s">
        <v>166</v>
      </c>
      <c r="B86" t="s">
        <v>156</v>
      </c>
      <c r="C86" t="s">
        <v>165</v>
      </c>
      <c r="D86">
        <v>5</v>
      </c>
      <c r="E86">
        <v>85000</v>
      </c>
      <c r="F86" s="12">
        <v>45713</v>
      </c>
    </row>
    <row r="87" spans="1:6" x14ac:dyDescent="0.25">
      <c r="A87" t="s">
        <v>168</v>
      </c>
      <c r="B87" t="s">
        <v>161</v>
      </c>
      <c r="C87" t="s">
        <v>159</v>
      </c>
      <c r="D87">
        <v>1</v>
      </c>
      <c r="E87">
        <v>71470</v>
      </c>
      <c r="F87" s="12">
        <v>45737</v>
      </c>
    </row>
    <row r="88" spans="1:6" x14ac:dyDescent="0.25">
      <c r="A88" t="s">
        <v>163</v>
      </c>
      <c r="B88" t="s">
        <v>164</v>
      </c>
      <c r="C88" t="s">
        <v>157</v>
      </c>
      <c r="D88">
        <v>4</v>
      </c>
      <c r="E88">
        <v>70150</v>
      </c>
      <c r="F88" s="12">
        <v>45661</v>
      </c>
    </row>
    <row r="89" spans="1:6" x14ac:dyDescent="0.25">
      <c r="A89" t="s">
        <v>155</v>
      </c>
      <c r="B89" t="s">
        <v>161</v>
      </c>
      <c r="C89" t="s">
        <v>167</v>
      </c>
      <c r="D89">
        <v>4</v>
      </c>
      <c r="E89">
        <v>71280</v>
      </c>
      <c r="F89" s="12">
        <v>45719</v>
      </c>
    </row>
    <row r="90" spans="1:6" x14ac:dyDescent="0.25">
      <c r="A90" t="s">
        <v>160</v>
      </c>
      <c r="B90" t="s">
        <v>161</v>
      </c>
      <c r="C90" t="s">
        <v>157</v>
      </c>
      <c r="D90">
        <v>5</v>
      </c>
      <c r="E90">
        <v>52780</v>
      </c>
      <c r="F90" s="12">
        <v>45660</v>
      </c>
    </row>
    <row r="91" spans="1:6" x14ac:dyDescent="0.25">
      <c r="A91" t="s">
        <v>166</v>
      </c>
      <c r="B91" t="s">
        <v>158</v>
      </c>
      <c r="C91" t="s">
        <v>165</v>
      </c>
      <c r="D91">
        <v>4</v>
      </c>
      <c r="E91">
        <v>65340</v>
      </c>
      <c r="F91" s="12">
        <v>45745</v>
      </c>
    </row>
    <row r="92" spans="1:6" x14ac:dyDescent="0.25">
      <c r="A92" t="s">
        <v>168</v>
      </c>
      <c r="B92" t="s">
        <v>161</v>
      </c>
      <c r="C92" t="s">
        <v>159</v>
      </c>
      <c r="D92">
        <v>1</v>
      </c>
      <c r="E92">
        <v>93600</v>
      </c>
      <c r="F92" s="12">
        <v>45703</v>
      </c>
    </row>
    <row r="93" spans="1:6" x14ac:dyDescent="0.25">
      <c r="A93" t="s">
        <v>163</v>
      </c>
      <c r="B93" t="s">
        <v>164</v>
      </c>
      <c r="C93" t="s">
        <v>162</v>
      </c>
      <c r="D93">
        <v>4</v>
      </c>
      <c r="E93">
        <v>88530</v>
      </c>
      <c r="F93" s="12">
        <v>45689</v>
      </c>
    </row>
    <row r="94" spans="1:6" x14ac:dyDescent="0.25">
      <c r="A94" t="s">
        <v>155</v>
      </c>
      <c r="B94" t="s">
        <v>164</v>
      </c>
      <c r="C94" t="s">
        <v>167</v>
      </c>
      <c r="D94">
        <v>4</v>
      </c>
      <c r="E94">
        <v>63040</v>
      </c>
      <c r="F94" s="12">
        <v>45682</v>
      </c>
    </row>
    <row r="95" spans="1:6" x14ac:dyDescent="0.25">
      <c r="A95" t="s">
        <v>166</v>
      </c>
      <c r="B95" t="s">
        <v>164</v>
      </c>
      <c r="C95" t="s">
        <v>162</v>
      </c>
      <c r="D95">
        <v>2</v>
      </c>
      <c r="E95">
        <v>97820</v>
      </c>
      <c r="F95" s="12">
        <v>45685</v>
      </c>
    </row>
    <row r="96" spans="1:6" x14ac:dyDescent="0.25">
      <c r="A96" t="s">
        <v>168</v>
      </c>
      <c r="B96" t="s">
        <v>164</v>
      </c>
      <c r="C96" t="s">
        <v>159</v>
      </c>
      <c r="D96">
        <v>3</v>
      </c>
      <c r="E96">
        <v>59980</v>
      </c>
      <c r="F96" s="12">
        <v>45701</v>
      </c>
    </row>
    <row r="97" spans="1:6" x14ac:dyDescent="0.25">
      <c r="A97" t="s">
        <v>163</v>
      </c>
      <c r="B97" t="s">
        <v>158</v>
      </c>
      <c r="C97" t="s">
        <v>159</v>
      </c>
      <c r="D97">
        <v>2</v>
      </c>
      <c r="E97">
        <v>67720</v>
      </c>
      <c r="F97" s="12">
        <v>45715</v>
      </c>
    </row>
    <row r="98" spans="1:6" x14ac:dyDescent="0.25">
      <c r="A98" t="s">
        <v>160</v>
      </c>
      <c r="B98" t="s">
        <v>161</v>
      </c>
      <c r="C98" t="s">
        <v>157</v>
      </c>
      <c r="D98">
        <v>5</v>
      </c>
      <c r="E98">
        <v>87320</v>
      </c>
      <c r="F98" s="12">
        <v>45730</v>
      </c>
    </row>
    <row r="99" spans="1:6" x14ac:dyDescent="0.25">
      <c r="A99" t="s">
        <v>155</v>
      </c>
      <c r="B99" t="s">
        <v>161</v>
      </c>
      <c r="C99" t="s">
        <v>159</v>
      </c>
      <c r="D99">
        <v>5</v>
      </c>
      <c r="E99">
        <v>52740</v>
      </c>
      <c r="F99" s="12">
        <v>45700</v>
      </c>
    </row>
    <row r="100" spans="1:6" x14ac:dyDescent="0.25">
      <c r="A100" t="s">
        <v>168</v>
      </c>
      <c r="B100" t="s">
        <v>156</v>
      </c>
      <c r="C100" t="s">
        <v>167</v>
      </c>
      <c r="D100">
        <v>5</v>
      </c>
      <c r="E100">
        <v>65170</v>
      </c>
      <c r="F100" s="12">
        <v>45687</v>
      </c>
    </row>
    <row r="101" spans="1:6" x14ac:dyDescent="0.25">
      <c r="A101" t="s">
        <v>155</v>
      </c>
      <c r="B101" t="s">
        <v>164</v>
      </c>
      <c r="C101" t="s">
        <v>157</v>
      </c>
      <c r="D101">
        <v>4</v>
      </c>
      <c r="E101">
        <v>72340</v>
      </c>
      <c r="F101" s="12">
        <v>45732</v>
      </c>
    </row>
    <row r="102" spans="1:6" x14ac:dyDescent="0.25">
      <c r="A102" t="s">
        <v>178</v>
      </c>
      <c r="F102">
        <f>SUBTOTAL(103,Sales2[Date])</f>
        <v>100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B0CD-2DC1-4D32-9072-19DEDB963198}">
  <dimension ref="A1:N102"/>
  <sheetViews>
    <sheetView workbookViewId="0">
      <selection activeCell="N4" sqref="N4"/>
    </sheetView>
  </sheetViews>
  <sheetFormatPr defaultRowHeight="15" x14ac:dyDescent="0.25"/>
  <sheetData>
    <row r="1" spans="1:14" x14ac:dyDescent="0.25">
      <c r="A1" t="str" cm="1">
        <f t="array" ref="A1:F100">Sales2[]</f>
        <v>Koushik</v>
      </c>
      <c r="B1" t="str">
        <v>South</v>
      </c>
      <c r="C1" t="str">
        <v>Projector</v>
      </c>
      <c r="D1">
        <v>3</v>
      </c>
      <c r="E1">
        <v>99590</v>
      </c>
      <c r="F1">
        <v>45669</v>
      </c>
    </row>
    <row r="2" spans="1:14" x14ac:dyDescent="0.25">
      <c r="A2" t="str">
        <v>Ramu</v>
      </c>
      <c r="B2" t="str">
        <v>North</v>
      </c>
      <c r="C2" t="str">
        <v>Printer</v>
      </c>
      <c r="D2">
        <v>6</v>
      </c>
      <c r="E2">
        <v>93600</v>
      </c>
      <c r="F2">
        <v>45695</v>
      </c>
    </row>
    <row r="3" spans="1:14" x14ac:dyDescent="0.25">
      <c r="A3" t="str">
        <v>Jagadeesh</v>
      </c>
      <c r="B3" t="str">
        <v>West</v>
      </c>
      <c r="C3" t="str">
        <v>Webcam</v>
      </c>
      <c r="D3">
        <v>1</v>
      </c>
      <c r="E3">
        <v>92480</v>
      </c>
      <c r="F3">
        <v>45678</v>
      </c>
      <c r="J3" t="str" cm="1">
        <f t="array" ref="J3:J102">Sales2[Agent]</f>
        <v>Koushik</v>
      </c>
      <c r="L3" t="str" cm="1">
        <f t="array" ref="L3:L102">Sales2[Region]</f>
        <v>South</v>
      </c>
      <c r="N3" t="str" cm="1">
        <f t="array" ref="N3:N102">Sales2[Product]</f>
        <v>Projector</v>
      </c>
    </row>
    <row r="4" spans="1:14" x14ac:dyDescent="0.25">
      <c r="A4" t="str">
        <v>Jagadeesh</v>
      </c>
      <c r="B4" t="str">
        <v>West</v>
      </c>
      <c r="C4" t="str">
        <v>Printer</v>
      </c>
      <c r="D4">
        <v>6</v>
      </c>
      <c r="E4">
        <v>84870</v>
      </c>
      <c r="F4">
        <v>45741</v>
      </c>
      <c r="J4" t="str">
        <v>Ramu</v>
      </c>
      <c r="L4" t="str">
        <v>North</v>
      </c>
      <c r="N4" t="str">
        <v>Printer</v>
      </c>
    </row>
    <row r="5" spans="1:14" x14ac:dyDescent="0.25">
      <c r="A5" t="str">
        <v>Sundeep</v>
      </c>
      <c r="B5" t="str">
        <v>West</v>
      </c>
      <c r="C5" t="str">
        <v>Webcam</v>
      </c>
      <c r="D5">
        <v>3</v>
      </c>
      <c r="E5">
        <v>59650</v>
      </c>
      <c r="F5">
        <v>45708</v>
      </c>
      <c r="J5" t="str">
        <v>Jagadeesh</v>
      </c>
      <c r="L5" t="str">
        <v>West</v>
      </c>
      <c r="N5" t="str">
        <v>Webcam</v>
      </c>
    </row>
    <row r="6" spans="1:14" x14ac:dyDescent="0.25">
      <c r="A6" t="str">
        <v>Eashwar</v>
      </c>
      <c r="B6" t="str">
        <v>South</v>
      </c>
      <c r="C6" t="str">
        <v>Webcam</v>
      </c>
      <c r="D6">
        <v>6</v>
      </c>
      <c r="E6">
        <v>57300</v>
      </c>
      <c r="F6">
        <v>45665</v>
      </c>
      <c r="J6" t="str">
        <v>Jagadeesh</v>
      </c>
      <c r="L6" t="str">
        <v>West</v>
      </c>
      <c r="N6" t="str">
        <v>Printer</v>
      </c>
    </row>
    <row r="7" spans="1:14" x14ac:dyDescent="0.25">
      <c r="A7" t="str">
        <v>Eashwar</v>
      </c>
      <c r="B7" t="str">
        <v>East</v>
      </c>
      <c r="C7" t="str">
        <v>Scanner</v>
      </c>
      <c r="D7">
        <v>2</v>
      </c>
      <c r="E7">
        <v>83910</v>
      </c>
      <c r="F7">
        <v>45741</v>
      </c>
      <c r="J7" t="str">
        <v>Sundeep</v>
      </c>
      <c r="L7" t="str">
        <v>West</v>
      </c>
      <c r="N7" t="str">
        <v>Webcam</v>
      </c>
    </row>
    <row r="8" spans="1:14" x14ac:dyDescent="0.25">
      <c r="A8" t="str">
        <v>Sundeep</v>
      </c>
      <c r="B8" t="str">
        <v>South</v>
      </c>
      <c r="C8" t="str">
        <v>Laptop</v>
      </c>
      <c r="D8">
        <v>5</v>
      </c>
      <c r="E8">
        <v>81810</v>
      </c>
      <c r="F8">
        <v>45685</v>
      </c>
      <c r="J8" t="str">
        <v>Eashwar</v>
      </c>
      <c r="L8" t="str">
        <v>South</v>
      </c>
      <c r="N8" t="str">
        <v>Webcam</v>
      </c>
    </row>
    <row r="9" spans="1:14" x14ac:dyDescent="0.25">
      <c r="A9" t="str">
        <v>Ramu</v>
      </c>
      <c r="B9" t="str">
        <v>South</v>
      </c>
      <c r="C9" t="str">
        <v>Laptop</v>
      </c>
      <c r="D9">
        <v>1</v>
      </c>
      <c r="E9">
        <v>70650</v>
      </c>
      <c r="F9">
        <v>45659</v>
      </c>
      <c r="J9" t="str">
        <v>Eashwar</v>
      </c>
      <c r="L9" t="str">
        <v>East</v>
      </c>
      <c r="N9" t="str">
        <v>Scanner</v>
      </c>
    </row>
    <row r="10" spans="1:14" x14ac:dyDescent="0.25">
      <c r="A10" t="str">
        <v>Eashwar</v>
      </c>
      <c r="B10" t="str">
        <v>South</v>
      </c>
      <c r="C10" t="str">
        <v>Projector</v>
      </c>
      <c r="D10">
        <v>4</v>
      </c>
      <c r="E10">
        <v>53750</v>
      </c>
      <c r="F10">
        <v>45708</v>
      </c>
      <c r="J10" t="str">
        <v>Sundeep</v>
      </c>
      <c r="L10" t="str">
        <v>South</v>
      </c>
      <c r="N10" t="str">
        <v>Laptop</v>
      </c>
    </row>
    <row r="11" spans="1:14" x14ac:dyDescent="0.25">
      <c r="A11" t="str">
        <v>Ramu</v>
      </c>
      <c r="B11" t="str">
        <v>East</v>
      </c>
      <c r="C11" t="str">
        <v>Printer</v>
      </c>
      <c r="D11">
        <v>4</v>
      </c>
      <c r="E11">
        <v>84320</v>
      </c>
      <c r="F11">
        <v>45694</v>
      </c>
      <c r="J11" t="str">
        <v>Ramu</v>
      </c>
      <c r="L11" t="str">
        <v>South</v>
      </c>
      <c r="N11" t="str">
        <v>Laptop</v>
      </c>
    </row>
    <row r="12" spans="1:14" x14ac:dyDescent="0.25">
      <c r="A12" t="str">
        <v>Eashwar</v>
      </c>
      <c r="B12" t="str">
        <v>East</v>
      </c>
      <c r="C12" t="str">
        <v>Printer</v>
      </c>
      <c r="D12">
        <v>1</v>
      </c>
      <c r="E12">
        <v>79860</v>
      </c>
      <c r="F12">
        <v>45697</v>
      </c>
      <c r="J12" t="str">
        <v>Eashwar</v>
      </c>
      <c r="L12" t="str">
        <v>South</v>
      </c>
      <c r="N12" t="str">
        <v>Projector</v>
      </c>
    </row>
    <row r="13" spans="1:14" x14ac:dyDescent="0.25">
      <c r="A13" t="str">
        <v>Sundeep</v>
      </c>
      <c r="B13" t="str">
        <v>North</v>
      </c>
      <c r="C13" t="str">
        <v>Webcam</v>
      </c>
      <c r="D13">
        <v>3</v>
      </c>
      <c r="E13">
        <v>88160</v>
      </c>
      <c r="F13">
        <v>45672</v>
      </c>
      <c r="J13" t="str">
        <v>Ramu</v>
      </c>
      <c r="L13" t="str">
        <v>East</v>
      </c>
      <c r="N13" t="str">
        <v>Printer</v>
      </c>
    </row>
    <row r="14" spans="1:14" x14ac:dyDescent="0.25">
      <c r="A14" t="str">
        <v>Jagadeesh</v>
      </c>
      <c r="B14" t="str">
        <v>West</v>
      </c>
      <c r="C14" t="str">
        <v>Scanner</v>
      </c>
      <c r="D14">
        <v>3</v>
      </c>
      <c r="E14">
        <v>71020</v>
      </c>
      <c r="F14">
        <v>45709</v>
      </c>
      <c r="J14" t="str">
        <v>Eashwar</v>
      </c>
      <c r="L14" t="str">
        <v>East</v>
      </c>
      <c r="N14" t="str">
        <v>Printer</v>
      </c>
    </row>
    <row r="15" spans="1:14" x14ac:dyDescent="0.25">
      <c r="A15" t="str">
        <v>Eashwar</v>
      </c>
      <c r="B15" t="str">
        <v>West</v>
      </c>
      <c r="C15" t="str">
        <v>Laptop</v>
      </c>
      <c r="D15">
        <v>1</v>
      </c>
      <c r="E15">
        <v>54200</v>
      </c>
      <c r="F15">
        <v>45687</v>
      </c>
      <c r="J15" t="str">
        <v>Sundeep</v>
      </c>
      <c r="L15" t="str">
        <v>North</v>
      </c>
      <c r="N15" t="str">
        <v>Webcam</v>
      </c>
    </row>
    <row r="16" spans="1:14" x14ac:dyDescent="0.25">
      <c r="A16" t="str">
        <v>Koushik</v>
      </c>
      <c r="B16" t="str">
        <v>West</v>
      </c>
      <c r="C16" t="str">
        <v>Webcam</v>
      </c>
      <c r="D16">
        <v>5</v>
      </c>
      <c r="E16">
        <v>58660</v>
      </c>
      <c r="F16">
        <v>45672</v>
      </c>
      <c r="J16" t="str">
        <v>Jagadeesh</v>
      </c>
      <c r="L16" t="str">
        <v>West</v>
      </c>
      <c r="N16" t="str">
        <v>Scanner</v>
      </c>
    </row>
    <row r="17" spans="1:14" x14ac:dyDescent="0.25">
      <c r="A17" t="str">
        <v>Jagadeesh</v>
      </c>
      <c r="B17" t="str">
        <v>South</v>
      </c>
      <c r="C17" t="str">
        <v>Laptop</v>
      </c>
      <c r="D17">
        <v>1</v>
      </c>
      <c r="E17">
        <v>67010</v>
      </c>
      <c r="F17">
        <v>45708</v>
      </c>
      <c r="J17" t="str">
        <v>Eashwar</v>
      </c>
      <c r="L17" t="str">
        <v>West</v>
      </c>
      <c r="N17" t="str">
        <v>Laptop</v>
      </c>
    </row>
    <row r="18" spans="1:14" x14ac:dyDescent="0.25">
      <c r="A18" t="str">
        <v>Jagadeesh</v>
      </c>
      <c r="B18" t="str">
        <v>South</v>
      </c>
      <c r="C18" t="str">
        <v>Webcam</v>
      </c>
      <c r="D18">
        <v>6</v>
      </c>
      <c r="E18">
        <v>95090</v>
      </c>
      <c r="F18">
        <v>45698</v>
      </c>
      <c r="J18" t="str">
        <v>Koushik</v>
      </c>
      <c r="L18" t="str">
        <v>West</v>
      </c>
      <c r="N18" t="str">
        <v>Webcam</v>
      </c>
    </row>
    <row r="19" spans="1:14" x14ac:dyDescent="0.25">
      <c r="A19" t="str">
        <v>Koushik</v>
      </c>
      <c r="B19" t="str">
        <v>East</v>
      </c>
      <c r="C19" t="str">
        <v>Projector</v>
      </c>
      <c r="D19">
        <v>1</v>
      </c>
      <c r="E19">
        <v>52280</v>
      </c>
      <c r="F19">
        <v>45661</v>
      </c>
      <c r="J19" t="str">
        <v>Jagadeesh</v>
      </c>
      <c r="L19" t="str">
        <v>South</v>
      </c>
      <c r="N19" t="str">
        <v>Laptop</v>
      </c>
    </row>
    <row r="20" spans="1:14" x14ac:dyDescent="0.25">
      <c r="A20" t="str">
        <v>Sundeep</v>
      </c>
      <c r="B20" t="str">
        <v>South</v>
      </c>
      <c r="C20" t="str">
        <v>Webcam</v>
      </c>
      <c r="D20">
        <v>4</v>
      </c>
      <c r="E20">
        <v>97670</v>
      </c>
      <c r="F20">
        <v>45716</v>
      </c>
      <c r="J20" t="str">
        <v>Jagadeesh</v>
      </c>
      <c r="L20" t="str">
        <v>South</v>
      </c>
      <c r="N20" t="str">
        <v>Webcam</v>
      </c>
    </row>
    <row r="21" spans="1:14" x14ac:dyDescent="0.25">
      <c r="A21" t="str">
        <v>Eashwar</v>
      </c>
      <c r="B21" t="str">
        <v>North</v>
      </c>
      <c r="C21" t="str">
        <v>Laptop</v>
      </c>
      <c r="D21">
        <v>6</v>
      </c>
      <c r="E21">
        <v>74990</v>
      </c>
      <c r="F21">
        <v>45697</v>
      </c>
      <c r="J21" t="str">
        <v>Koushik</v>
      </c>
      <c r="L21" t="str">
        <v>East</v>
      </c>
      <c r="N21" t="str">
        <v>Projector</v>
      </c>
    </row>
    <row r="22" spans="1:14" x14ac:dyDescent="0.25">
      <c r="A22" t="str">
        <v>Jagadeesh</v>
      </c>
      <c r="B22" t="str">
        <v>North</v>
      </c>
      <c r="C22" t="str">
        <v>Printer</v>
      </c>
      <c r="D22">
        <v>5</v>
      </c>
      <c r="E22">
        <v>70050</v>
      </c>
      <c r="F22">
        <v>45672</v>
      </c>
      <c r="J22" t="str">
        <v>Sundeep</v>
      </c>
      <c r="L22" t="str">
        <v>South</v>
      </c>
      <c r="N22" t="str">
        <v>Webcam</v>
      </c>
    </row>
    <row r="23" spans="1:14" x14ac:dyDescent="0.25">
      <c r="A23" t="str">
        <v>Eashwar</v>
      </c>
      <c r="B23" t="str">
        <v>East</v>
      </c>
      <c r="C23" t="str">
        <v>Webcam</v>
      </c>
      <c r="D23">
        <v>6</v>
      </c>
      <c r="E23">
        <v>62820</v>
      </c>
      <c r="F23">
        <v>45708</v>
      </c>
      <c r="J23" t="str">
        <v>Eashwar</v>
      </c>
      <c r="L23" t="str">
        <v>North</v>
      </c>
      <c r="N23" t="str">
        <v>Laptop</v>
      </c>
    </row>
    <row r="24" spans="1:14" x14ac:dyDescent="0.25">
      <c r="A24" t="str">
        <v>Jagadeesh</v>
      </c>
      <c r="B24" t="str">
        <v>West</v>
      </c>
      <c r="C24" t="str">
        <v>Laptop</v>
      </c>
      <c r="D24">
        <v>2</v>
      </c>
      <c r="E24">
        <v>80400</v>
      </c>
      <c r="F24">
        <v>45666</v>
      </c>
      <c r="J24" t="str">
        <v>Jagadeesh</v>
      </c>
      <c r="L24" t="str">
        <v>North</v>
      </c>
      <c r="N24" t="str">
        <v>Printer</v>
      </c>
    </row>
    <row r="25" spans="1:14" x14ac:dyDescent="0.25">
      <c r="A25" t="str">
        <v>Jagadeesh</v>
      </c>
      <c r="B25" t="str">
        <v>East</v>
      </c>
      <c r="C25" t="str">
        <v>Projector</v>
      </c>
      <c r="D25">
        <v>6</v>
      </c>
      <c r="E25">
        <v>88020</v>
      </c>
      <c r="F25">
        <v>45734</v>
      </c>
      <c r="J25" t="str">
        <v>Eashwar</v>
      </c>
      <c r="L25" t="str">
        <v>East</v>
      </c>
      <c r="N25" t="str">
        <v>Webcam</v>
      </c>
    </row>
    <row r="26" spans="1:14" x14ac:dyDescent="0.25">
      <c r="A26" t="str">
        <v>Eashwar</v>
      </c>
      <c r="B26" t="str">
        <v>North</v>
      </c>
      <c r="C26" t="str">
        <v>Webcam</v>
      </c>
      <c r="D26">
        <v>3</v>
      </c>
      <c r="E26">
        <v>63480</v>
      </c>
      <c r="F26">
        <v>45686</v>
      </c>
      <c r="J26" t="str">
        <v>Jagadeesh</v>
      </c>
      <c r="L26" t="str">
        <v>West</v>
      </c>
      <c r="N26" t="str">
        <v>Laptop</v>
      </c>
    </row>
    <row r="27" spans="1:14" x14ac:dyDescent="0.25">
      <c r="A27" t="str">
        <v>Koushik</v>
      </c>
      <c r="B27" t="str">
        <v>West</v>
      </c>
      <c r="C27" t="str">
        <v>Printer</v>
      </c>
      <c r="D27">
        <v>6</v>
      </c>
      <c r="E27">
        <v>52400</v>
      </c>
      <c r="F27">
        <v>45705</v>
      </c>
      <c r="J27" t="str">
        <v>Jagadeesh</v>
      </c>
      <c r="L27" t="str">
        <v>East</v>
      </c>
      <c r="N27" t="str">
        <v>Projector</v>
      </c>
    </row>
    <row r="28" spans="1:14" x14ac:dyDescent="0.25">
      <c r="A28" t="str">
        <v>Ramu</v>
      </c>
      <c r="B28" t="str">
        <v>East</v>
      </c>
      <c r="C28" t="str">
        <v>Laptop</v>
      </c>
      <c r="D28">
        <v>3</v>
      </c>
      <c r="E28">
        <v>84980</v>
      </c>
      <c r="F28">
        <v>45695</v>
      </c>
      <c r="J28" t="str">
        <v>Eashwar</v>
      </c>
      <c r="L28" t="str">
        <v>North</v>
      </c>
      <c r="N28" t="str">
        <v>Webcam</v>
      </c>
    </row>
    <row r="29" spans="1:14" x14ac:dyDescent="0.25">
      <c r="A29" t="str">
        <v>Sundeep</v>
      </c>
      <c r="B29" t="str">
        <v>East</v>
      </c>
      <c r="C29" t="str">
        <v>Printer</v>
      </c>
      <c r="D29">
        <v>6</v>
      </c>
      <c r="E29">
        <v>84370</v>
      </c>
      <c r="F29">
        <v>45731</v>
      </c>
      <c r="J29" t="str">
        <v>Koushik</v>
      </c>
      <c r="L29" t="str">
        <v>West</v>
      </c>
      <c r="N29" t="str">
        <v>Printer</v>
      </c>
    </row>
    <row r="30" spans="1:14" x14ac:dyDescent="0.25">
      <c r="A30" t="str">
        <v>Eashwar</v>
      </c>
      <c r="B30" t="str">
        <v>West</v>
      </c>
      <c r="C30" t="str">
        <v>Printer</v>
      </c>
      <c r="D30">
        <v>4</v>
      </c>
      <c r="E30">
        <v>60220</v>
      </c>
      <c r="F30">
        <v>45719</v>
      </c>
      <c r="J30" t="str">
        <v>Ramu</v>
      </c>
      <c r="L30" t="str">
        <v>East</v>
      </c>
      <c r="N30" t="str">
        <v>Laptop</v>
      </c>
    </row>
    <row r="31" spans="1:14" x14ac:dyDescent="0.25">
      <c r="A31" t="str">
        <v>Eashwar</v>
      </c>
      <c r="B31" t="str">
        <v>East</v>
      </c>
      <c r="C31" t="str">
        <v>Projector</v>
      </c>
      <c r="D31">
        <v>2</v>
      </c>
      <c r="E31">
        <v>80660</v>
      </c>
      <c r="F31">
        <v>45701</v>
      </c>
      <c r="J31" t="str">
        <v>Sundeep</v>
      </c>
      <c r="L31" t="str">
        <v>East</v>
      </c>
      <c r="N31" t="str">
        <v>Printer</v>
      </c>
    </row>
    <row r="32" spans="1:14" x14ac:dyDescent="0.25">
      <c r="A32" t="str">
        <v>Jagadeesh</v>
      </c>
      <c r="B32" t="str">
        <v>East</v>
      </c>
      <c r="C32" t="str">
        <v>Projector</v>
      </c>
      <c r="D32">
        <v>1</v>
      </c>
      <c r="E32">
        <v>78220</v>
      </c>
      <c r="F32">
        <v>45713</v>
      </c>
      <c r="J32" t="str">
        <v>Eashwar</v>
      </c>
      <c r="L32" t="str">
        <v>West</v>
      </c>
      <c r="N32" t="str">
        <v>Printer</v>
      </c>
    </row>
    <row r="33" spans="1:14" x14ac:dyDescent="0.25">
      <c r="A33" t="str">
        <v>Eashwar</v>
      </c>
      <c r="B33" t="str">
        <v>North</v>
      </c>
      <c r="C33" t="str">
        <v>Laptop</v>
      </c>
      <c r="D33">
        <v>3</v>
      </c>
      <c r="E33">
        <v>62210</v>
      </c>
      <c r="F33">
        <v>45663</v>
      </c>
      <c r="J33" t="str">
        <v>Eashwar</v>
      </c>
      <c r="L33" t="str">
        <v>East</v>
      </c>
      <c r="N33" t="str">
        <v>Projector</v>
      </c>
    </row>
    <row r="34" spans="1:14" x14ac:dyDescent="0.25">
      <c r="A34" t="str">
        <v>Koushik</v>
      </c>
      <c r="B34" t="str">
        <v>North</v>
      </c>
      <c r="C34" t="str">
        <v>Printer</v>
      </c>
      <c r="D34">
        <v>1</v>
      </c>
      <c r="E34">
        <v>89380</v>
      </c>
      <c r="F34">
        <v>45696</v>
      </c>
      <c r="J34" t="str">
        <v>Jagadeesh</v>
      </c>
      <c r="L34" t="str">
        <v>East</v>
      </c>
      <c r="N34" t="str">
        <v>Projector</v>
      </c>
    </row>
    <row r="35" spans="1:14" x14ac:dyDescent="0.25">
      <c r="A35" t="str">
        <v>Jagadeesh</v>
      </c>
      <c r="B35" t="str">
        <v>South</v>
      </c>
      <c r="C35" t="str">
        <v>Laptop</v>
      </c>
      <c r="D35">
        <v>5</v>
      </c>
      <c r="E35">
        <v>67330</v>
      </c>
      <c r="F35">
        <v>45706</v>
      </c>
      <c r="J35" t="str">
        <v>Eashwar</v>
      </c>
      <c r="L35" t="str">
        <v>North</v>
      </c>
      <c r="N35" t="str">
        <v>Laptop</v>
      </c>
    </row>
    <row r="36" spans="1:14" x14ac:dyDescent="0.25">
      <c r="A36" t="str">
        <v>Koushik</v>
      </c>
      <c r="B36" t="str">
        <v>South</v>
      </c>
      <c r="C36" t="str">
        <v>Projector</v>
      </c>
      <c r="D36">
        <v>5</v>
      </c>
      <c r="E36">
        <v>80880</v>
      </c>
      <c r="F36">
        <v>45736</v>
      </c>
      <c r="J36" t="str">
        <v>Koushik</v>
      </c>
      <c r="L36" t="str">
        <v>North</v>
      </c>
      <c r="N36" t="str">
        <v>Printer</v>
      </c>
    </row>
    <row r="37" spans="1:14" x14ac:dyDescent="0.25">
      <c r="A37" t="str">
        <v>Jagadeesh</v>
      </c>
      <c r="B37" t="str">
        <v>East</v>
      </c>
      <c r="C37" t="str">
        <v>Projector</v>
      </c>
      <c r="D37">
        <v>1</v>
      </c>
      <c r="E37">
        <v>62610</v>
      </c>
      <c r="F37">
        <v>45706</v>
      </c>
      <c r="J37" t="str">
        <v>Jagadeesh</v>
      </c>
      <c r="L37" t="str">
        <v>South</v>
      </c>
      <c r="N37" t="str">
        <v>Laptop</v>
      </c>
    </row>
    <row r="38" spans="1:14" x14ac:dyDescent="0.25">
      <c r="A38" t="str">
        <v>Sundeep</v>
      </c>
      <c r="B38" t="str">
        <v>North</v>
      </c>
      <c r="C38" t="str">
        <v>Projector</v>
      </c>
      <c r="D38">
        <v>2</v>
      </c>
      <c r="E38">
        <v>95860</v>
      </c>
      <c r="F38">
        <v>45688</v>
      </c>
      <c r="J38" t="str">
        <v>Koushik</v>
      </c>
      <c r="L38" t="str">
        <v>South</v>
      </c>
      <c r="N38" t="str">
        <v>Projector</v>
      </c>
    </row>
    <row r="39" spans="1:14" x14ac:dyDescent="0.25">
      <c r="A39" t="str">
        <v>Sundeep</v>
      </c>
      <c r="B39" t="str">
        <v>North</v>
      </c>
      <c r="C39" t="str">
        <v>Laptop</v>
      </c>
      <c r="D39">
        <v>2</v>
      </c>
      <c r="E39">
        <v>91690</v>
      </c>
      <c r="F39">
        <v>45676</v>
      </c>
      <c r="J39" t="str">
        <v>Jagadeesh</v>
      </c>
      <c r="L39" t="str">
        <v>East</v>
      </c>
      <c r="N39" t="str">
        <v>Projector</v>
      </c>
    </row>
    <row r="40" spans="1:14" x14ac:dyDescent="0.25">
      <c r="A40" t="str">
        <v>Sundeep</v>
      </c>
      <c r="B40" t="str">
        <v>West</v>
      </c>
      <c r="C40" t="str">
        <v>Laptop</v>
      </c>
      <c r="D40">
        <v>2</v>
      </c>
      <c r="E40">
        <v>76080</v>
      </c>
      <c r="F40">
        <v>45662</v>
      </c>
      <c r="J40" t="str">
        <v>Sundeep</v>
      </c>
      <c r="L40" t="str">
        <v>North</v>
      </c>
      <c r="N40" t="str">
        <v>Projector</v>
      </c>
    </row>
    <row r="41" spans="1:14" x14ac:dyDescent="0.25">
      <c r="A41" t="str">
        <v>Jagadeesh</v>
      </c>
      <c r="B41" t="str">
        <v>East</v>
      </c>
      <c r="C41" t="str">
        <v>Scanner</v>
      </c>
      <c r="D41">
        <v>3</v>
      </c>
      <c r="E41">
        <v>83990</v>
      </c>
      <c r="F41">
        <v>45669</v>
      </c>
      <c r="J41" t="str">
        <v>Sundeep</v>
      </c>
      <c r="L41" t="str">
        <v>North</v>
      </c>
      <c r="N41" t="str">
        <v>Laptop</v>
      </c>
    </row>
    <row r="42" spans="1:14" x14ac:dyDescent="0.25">
      <c r="A42" t="str">
        <v>Jagadeesh</v>
      </c>
      <c r="B42" t="str">
        <v>West</v>
      </c>
      <c r="C42" t="str">
        <v>Laptop</v>
      </c>
      <c r="D42">
        <v>4</v>
      </c>
      <c r="E42">
        <v>82550</v>
      </c>
      <c r="F42">
        <v>45727</v>
      </c>
      <c r="J42" t="str">
        <v>Sundeep</v>
      </c>
      <c r="L42" t="str">
        <v>West</v>
      </c>
      <c r="N42" t="str">
        <v>Laptop</v>
      </c>
    </row>
    <row r="43" spans="1:14" x14ac:dyDescent="0.25">
      <c r="A43" t="str">
        <v>Sundeep</v>
      </c>
      <c r="B43" t="str">
        <v>North</v>
      </c>
      <c r="C43" t="str">
        <v>Projector</v>
      </c>
      <c r="D43">
        <v>6</v>
      </c>
      <c r="E43">
        <v>90660</v>
      </c>
      <c r="F43">
        <v>45666</v>
      </c>
      <c r="J43" t="str">
        <v>Jagadeesh</v>
      </c>
      <c r="L43" t="str">
        <v>East</v>
      </c>
      <c r="N43" t="str">
        <v>Scanner</v>
      </c>
    </row>
    <row r="44" spans="1:14" x14ac:dyDescent="0.25">
      <c r="A44" t="str">
        <v>Eashwar</v>
      </c>
      <c r="B44" t="str">
        <v>West</v>
      </c>
      <c r="C44" t="str">
        <v>Projector</v>
      </c>
      <c r="D44">
        <v>3</v>
      </c>
      <c r="E44">
        <v>72580</v>
      </c>
      <c r="F44">
        <v>45706</v>
      </c>
      <c r="J44" t="str">
        <v>Jagadeesh</v>
      </c>
      <c r="L44" t="str">
        <v>West</v>
      </c>
      <c r="N44" t="str">
        <v>Laptop</v>
      </c>
    </row>
    <row r="45" spans="1:14" x14ac:dyDescent="0.25">
      <c r="A45" t="str">
        <v>Koushik</v>
      </c>
      <c r="B45" t="str">
        <v>North</v>
      </c>
      <c r="C45" t="str">
        <v>Laptop</v>
      </c>
      <c r="D45">
        <v>4</v>
      </c>
      <c r="E45">
        <v>88250</v>
      </c>
      <c r="F45">
        <v>45680</v>
      </c>
      <c r="J45" t="str">
        <v>Sundeep</v>
      </c>
      <c r="L45" t="str">
        <v>North</v>
      </c>
      <c r="N45" t="str">
        <v>Projector</v>
      </c>
    </row>
    <row r="46" spans="1:14" x14ac:dyDescent="0.25">
      <c r="A46" t="str">
        <v>Eashwar</v>
      </c>
      <c r="B46" t="str">
        <v>West</v>
      </c>
      <c r="C46" t="str">
        <v>Webcam</v>
      </c>
      <c r="D46">
        <v>5</v>
      </c>
      <c r="E46">
        <v>85220</v>
      </c>
      <c r="F46">
        <v>45730</v>
      </c>
      <c r="J46" t="str">
        <v>Eashwar</v>
      </c>
      <c r="L46" t="str">
        <v>West</v>
      </c>
      <c r="N46" t="str">
        <v>Projector</v>
      </c>
    </row>
    <row r="47" spans="1:14" x14ac:dyDescent="0.25">
      <c r="A47" t="str">
        <v>Jagadeesh</v>
      </c>
      <c r="B47" t="str">
        <v>West</v>
      </c>
      <c r="C47" t="str">
        <v>Projector</v>
      </c>
      <c r="D47">
        <v>5</v>
      </c>
      <c r="E47">
        <v>65870</v>
      </c>
      <c r="F47">
        <v>45671</v>
      </c>
      <c r="J47" t="str">
        <v>Koushik</v>
      </c>
      <c r="L47" t="str">
        <v>North</v>
      </c>
      <c r="N47" t="str">
        <v>Laptop</v>
      </c>
    </row>
    <row r="48" spans="1:14" x14ac:dyDescent="0.25">
      <c r="A48" t="str">
        <v>Koushik</v>
      </c>
      <c r="B48" t="str">
        <v>East</v>
      </c>
      <c r="C48" t="str">
        <v>Projector</v>
      </c>
      <c r="D48">
        <v>1</v>
      </c>
      <c r="E48">
        <v>96040</v>
      </c>
      <c r="F48">
        <v>45736</v>
      </c>
      <c r="J48" t="str">
        <v>Eashwar</v>
      </c>
      <c r="L48" t="str">
        <v>West</v>
      </c>
      <c r="N48" t="str">
        <v>Webcam</v>
      </c>
    </row>
    <row r="49" spans="1:14" x14ac:dyDescent="0.25">
      <c r="A49" t="str">
        <v>Koushik</v>
      </c>
      <c r="B49" t="str">
        <v>West</v>
      </c>
      <c r="C49" t="str">
        <v>Scanner</v>
      </c>
      <c r="D49">
        <v>1</v>
      </c>
      <c r="E49">
        <v>77870</v>
      </c>
      <c r="F49">
        <v>45717</v>
      </c>
      <c r="J49" t="str">
        <v>Jagadeesh</v>
      </c>
      <c r="L49" t="str">
        <v>West</v>
      </c>
      <c r="N49" t="str">
        <v>Projector</v>
      </c>
    </row>
    <row r="50" spans="1:14" x14ac:dyDescent="0.25">
      <c r="A50" t="str">
        <v>Eashwar</v>
      </c>
      <c r="B50" t="str">
        <v>South</v>
      </c>
      <c r="C50" t="str">
        <v>Webcam</v>
      </c>
      <c r="D50">
        <v>6</v>
      </c>
      <c r="E50">
        <v>74760</v>
      </c>
      <c r="F50">
        <v>45717</v>
      </c>
      <c r="J50" t="str">
        <v>Koushik</v>
      </c>
      <c r="L50" t="str">
        <v>East</v>
      </c>
      <c r="N50" t="str">
        <v>Projector</v>
      </c>
    </row>
    <row r="51" spans="1:14" x14ac:dyDescent="0.25">
      <c r="A51" t="str">
        <v>Ramu</v>
      </c>
      <c r="B51" t="str">
        <v>North</v>
      </c>
      <c r="C51" t="str">
        <v>Scanner</v>
      </c>
      <c r="D51">
        <v>4</v>
      </c>
      <c r="E51">
        <v>54590</v>
      </c>
      <c r="F51">
        <v>45664</v>
      </c>
      <c r="J51" t="str">
        <v>Koushik</v>
      </c>
      <c r="L51" t="str">
        <v>West</v>
      </c>
      <c r="N51" t="str">
        <v>Scanner</v>
      </c>
    </row>
    <row r="52" spans="1:14" x14ac:dyDescent="0.25">
      <c r="A52" t="str">
        <v>Jagadeesh</v>
      </c>
      <c r="B52" t="str">
        <v>East</v>
      </c>
      <c r="C52" t="str">
        <v>Scanner</v>
      </c>
      <c r="D52">
        <v>4</v>
      </c>
      <c r="E52">
        <v>94890</v>
      </c>
      <c r="F52">
        <v>45659</v>
      </c>
      <c r="J52" t="str">
        <v>Eashwar</v>
      </c>
      <c r="L52" t="str">
        <v>South</v>
      </c>
      <c r="N52" t="str">
        <v>Webcam</v>
      </c>
    </row>
    <row r="53" spans="1:14" x14ac:dyDescent="0.25">
      <c r="A53" t="str">
        <v>Koushik</v>
      </c>
      <c r="B53" t="str">
        <v>South</v>
      </c>
      <c r="C53" t="str">
        <v>Projector</v>
      </c>
      <c r="D53">
        <v>2</v>
      </c>
      <c r="E53">
        <v>64110</v>
      </c>
      <c r="F53">
        <v>45743</v>
      </c>
      <c r="J53" t="str">
        <v>Ramu</v>
      </c>
      <c r="L53" t="str">
        <v>North</v>
      </c>
      <c r="N53" t="str">
        <v>Scanner</v>
      </c>
    </row>
    <row r="54" spans="1:14" x14ac:dyDescent="0.25">
      <c r="A54" t="str">
        <v>Jagadeesh</v>
      </c>
      <c r="B54" t="str">
        <v>East</v>
      </c>
      <c r="C54" t="str">
        <v>Webcam</v>
      </c>
      <c r="D54">
        <v>3</v>
      </c>
      <c r="E54">
        <v>81540</v>
      </c>
      <c r="F54">
        <v>45675</v>
      </c>
      <c r="J54" t="str">
        <v>Jagadeesh</v>
      </c>
      <c r="L54" t="str">
        <v>East</v>
      </c>
      <c r="N54" t="str">
        <v>Scanner</v>
      </c>
    </row>
    <row r="55" spans="1:14" x14ac:dyDescent="0.25">
      <c r="A55" t="str">
        <v>Sundeep</v>
      </c>
      <c r="B55" t="str">
        <v>North</v>
      </c>
      <c r="C55" t="str">
        <v>Printer</v>
      </c>
      <c r="D55">
        <v>4</v>
      </c>
      <c r="E55">
        <v>90290</v>
      </c>
      <c r="F55">
        <v>45690</v>
      </c>
      <c r="J55" t="str">
        <v>Koushik</v>
      </c>
      <c r="L55" t="str">
        <v>South</v>
      </c>
      <c r="N55" t="str">
        <v>Projector</v>
      </c>
    </row>
    <row r="56" spans="1:14" x14ac:dyDescent="0.25">
      <c r="A56" t="str">
        <v>Jagadeesh</v>
      </c>
      <c r="B56" t="str">
        <v>West</v>
      </c>
      <c r="C56" t="str">
        <v>Webcam</v>
      </c>
      <c r="D56">
        <v>1</v>
      </c>
      <c r="E56">
        <v>89670</v>
      </c>
      <c r="F56">
        <v>45745</v>
      </c>
      <c r="J56" t="str">
        <v>Jagadeesh</v>
      </c>
      <c r="L56" t="str">
        <v>East</v>
      </c>
      <c r="N56" t="str">
        <v>Webcam</v>
      </c>
    </row>
    <row r="57" spans="1:14" x14ac:dyDescent="0.25">
      <c r="A57" t="str">
        <v>Sundeep</v>
      </c>
      <c r="B57" t="str">
        <v>South</v>
      </c>
      <c r="C57" t="str">
        <v>Laptop</v>
      </c>
      <c r="D57">
        <v>3</v>
      </c>
      <c r="E57">
        <v>53430</v>
      </c>
      <c r="F57">
        <v>45726</v>
      </c>
      <c r="J57" t="str">
        <v>Sundeep</v>
      </c>
      <c r="L57" t="str">
        <v>North</v>
      </c>
      <c r="N57" t="str">
        <v>Printer</v>
      </c>
    </row>
    <row r="58" spans="1:14" x14ac:dyDescent="0.25">
      <c r="A58" t="str">
        <v>Eashwar</v>
      </c>
      <c r="B58" t="str">
        <v>South</v>
      </c>
      <c r="C58" t="str">
        <v>Scanner</v>
      </c>
      <c r="D58">
        <v>3</v>
      </c>
      <c r="E58">
        <v>83070</v>
      </c>
      <c r="F58">
        <v>45724</v>
      </c>
      <c r="J58" t="str">
        <v>Jagadeesh</v>
      </c>
      <c r="L58" t="str">
        <v>West</v>
      </c>
      <c r="N58" t="str">
        <v>Webcam</v>
      </c>
    </row>
    <row r="59" spans="1:14" x14ac:dyDescent="0.25">
      <c r="A59" t="str">
        <v>Sundeep</v>
      </c>
      <c r="B59" t="str">
        <v>South</v>
      </c>
      <c r="C59" t="str">
        <v>Projector</v>
      </c>
      <c r="D59">
        <v>4</v>
      </c>
      <c r="E59">
        <v>86990</v>
      </c>
      <c r="F59">
        <v>45679</v>
      </c>
      <c r="J59" t="str">
        <v>Sundeep</v>
      </c>
      <c r="L59" t="str">
        <v>South</v>
      </c>
      <c r="N59" t="str">
        <v>Laptop</v>
      </c>
    </row>
    <row r="60" spans="1:14" x14ac:dyDescent="0.25">
      <c r="A60" t="str">
        <v>Ramu</v>
      </c>
      <c r="B60" t="str">
        <v>East</v>
      </c>
      <c r="C60" t="str">
        <v>Webcam</v>
      </c>
      <c r="D60">
        <v>3</v>
      </c>
      <c r="E60">
        <v>66530</v>
      </c>
      <c r="F60">
        <v>45690</v>
      </c>
      <c r="J60" t="str">
        <v>Eashwar</v>
      </c>
      <c r="L60" t="str">
        <v>South</v>
      </c>
      <c r="N60" t="str">
        <v>Scanner</v>
      </c>
    </row>
    <row r="61" spans="1:14" x14ac:dyDescent="0.25">
      <c r="A61" t="str">
        <v>Ramu</v>
      </c>
      <c r="B61" t="str">
        <v>North</v>
      </c>
      <c r="C61" t="str">
        <v>Scanner</v>
      </c>
      <c r="D61">
        <v>3</v>
      </c>
      <c r="E61">
        <v>92810</v>
      </c>
      <c r="F61">
        <v>45695</v>
      </c>
      <c r="J61" t="str">
        <v>Sundeep</v>
      </c>
      <c r="L61" t="str">
        <v>South</v>
      </c>
      <c r="N61" t="str">
        <v>Projector</v>
      </c>
    </row>
    <row r="62" spans="1:14" x14ac:dyDescent="0.25">
      <c r="A62" t="str">
        <v>Koushik</v>
      </c>
      <c r="B62" t="str">
        <v>North</v>
      </c>
      <c r="C62" t="str">
        <v>Webcam</v>
      </c>
      <c r="D62">
        <v>3</v>
      </c>
      <c r="E62">
        <v>98920</v>
      </c>
      <c r="F62">
        <v>45658</v>
      </c>
      <c r="J62" t="str">
        <v>Ramu</v>
      </c>
      <c r="L62" t="str">
        <v>East</v>
      </c>
      <c r="N62" t="str">
        <v>Webcam</v>
      </c>
    </row>
    <row r="63" spans="1:14" x14ac:dyDescent="0.25">
      <c r="A63" t="str">
        <v>Koushik</v>
      </c>
      <c r="B63" t="str">
        <v>East</v>
      </c>
      <c r="C63" t="str">
        <v>Webcam</v>
      </c>
      <c r="D63">
        <v>3</v>
      </c>
      <c r="E63">
        <v>95080</v>
      </c>
      <c r="F63">
        <v>45696</v>
      </c>
      <c r="J63" t="str">
        <v>Ramu</v>
      </c>
      <c r="L63" t="str">
        <v>North</v>
      </c>
      <c r="N63" t="str">
        <v>Scanner</v>
      </c>
    </row>
    <row r="64" spans="1:14" x14ac:dyDescent="0.25">
      <c r="A64" t="str">
        <v>Sundeep</v>
      </c>
      <c r="B64" t="str">
        <v>East</v>
      </c>
      <c r="C64" t="str">
        <v>Webcam</v>
      </c>
      <c r="D64">
        <v>3</v>
      </c>
      <c r="E64">
        <v>53630</v>
      </c>
      <c r="F64">
        <v>45700</v>
      </c>
      <c r="J64" t="str">
        <v>Koushik</v>
      </c>
      <c r="L64" t="str">
        <v>North</v>
      </c>
      <c r="N64" t="str">
        <v>Webcam</v>
      </c>
    </row>
    <row r="65" spans="1:14" x14ac:dyDescent="0.25">
      <c r="A65" t="str">
        <v>Sundeep</v>
      </c>
      <c r="B65" t="str">
        <v>South</v>
      </c>
      <c r="C65" t="str">
        <v>Webcam</v>
      </c>
      <c r="D65">
        <v>1</v>
      </c>
      <c r="E65">
        <v>66750</v>
      </c>
      <c r="F65">
        <v>45680</v>
      </c>
      <c r="J65" t="str">
        <v>Koushik</v>
      </c>
      <c r="L65" t="str">
        <v>East</v>
      </c>
      <c r="N65" t="str">
        <v>Webcam</v>
      </c>
    </row>
    <row r="66" spans="1:14" x14ac:dyDescent="0.25">
      <c r="A66" t="str">
        <v>Eashwar</v>
      </c>
      <c r="B66" t="str">
        <v>West</v>
      </c>
      <c r="C66" t="str">
        <v>Webcam</v>
      </c>
      <c r="D66">
        <v>5</v>
      </c>
      <c r="E66">
        <v>68730</v>
      </c>
      <c r="F66">
        <v>45726</v>
      </c>
      <c r="J66" t="str">
        <v>Sundeep</v>
      </c>
      <c r="L66" t="str">
        <v>East</v>
      </c>
      <c r="N66" t="str">
        <v>Webcam</v>
      </c>
    </row>
    <row r="67" spans="1:14" x14ac:dyDescent="0.25">
      <c r="A67" t="str">
        <v>Jagadeesh</v>
      </c>
      <c r="B67" t="str">
        <v>South</v>
      </c>
      <c r="C67" t="str">
        <v>Projector</v>
      </c>
      <c r="D67">
        <v>2</v>
      </c>
      <c r="E67">
        <v>81740</v>
      </c>
      <c r="F67">
        <v>45716</v>
      </c>
      <c r="J67" t="str">
        <v>Sundeep</v>
      </c>
      <c r="L67" t="str">
        <v>South</v>
      </c>
      <c r="N67" t="str">
        <v>Webcam</v>
      </c>
    </row>
    <row r="68" spans="1:14" x14ac:dyDescent="0.25">
      <c r="A68" t="str">
        <v>Ramu</v>
      </c>
      <c r="B68" t="str">
        <v>East</v>
      </c>
      <c r="C68" t="str">
        <v>Webcam</v>
      </c>
      <c r="D68">
        <v>3</v>
      </c>
      <c r="E68">
        <v>68500</v>
      </c>
      <c r="F68">
        <v>45661</v>
      </c>
      <c r="J68" t="str">
        <v>Eashwar</v>
      </c>
      <c r="L68" t="str">
        <v>West</v>
      </c>
      <c r="N68" t="str">
        <v>Webcam</v>
      </c>
    </row>
    <row r="69" spans="1:14" x14ac:dyDescent="0.25">
      <c r="A69" t="str">
        <v>Ramu</v>
      </c>
      <c r="B69" t="str">
        <v>South</v>
      </c>
      <c r="C69" t="str">
        <v>Scanner</v>
      </c>
      <c r="D69">
        <v>2</v>
      </c>
      <c r="E69">
        <v>54310</v>
      </c>
      <c r="F69">
        <v>45676</v>
      </c>
      <c r="J69" t="str">
        <v>Jagadeesh</v>
      </c>
      <c r="L69" t="str">
        <v>South</v>
      </c>
      <c r="N69" t="str">
        <v>Projector</v>
      </c>
    </row>
    <row r="70" spans="1:14" x14ac:dyDescent="0.25">
      <c r="A70" t="str">
        <v>Jagadeesh</v>
      </c>
      <c r="B70" t="str">
        <v>West</v>
      </c>
      <c r="C70" t="str">
        <v>Scanner</v>
      </c>
      <c r="D70">
        <v>4</v>
      </c>
      <c r="E70">
        <v>77680</v>
      </c>
      <c r="F70">
        <v>45721</v>
      </c>
      <c r="J70" t="str">
        <v>Ramu</v>
      </c>
      <c r="L70" t="str">
        <v>East</v>
      </c>
      <c r="N70" t="str">
        <v>Webcam</v>
      </c>
    </row>
    <row r="71" spans="1:14" x14ac:dyDescent="0.25">
      <c r="A71" t="str">
        <v>Eashwar</v>
      </c>
      <c r="B71" t="str">
        <v>West</v>
      </c>
      <c r="C71" t="str">
        <v>Projector</v>
      </c>
      <c r="D71">
        <v>5</v>
      </c>
      <c r="E71">
        <v>83450</v>
      </c>
      <c r="F71">
        <v>45712</v>
      </c>
      <c r="J71" t="str">
        <v>Ramu</v>
      </c>
      <c r="L71" t="str">
        <v>South</v>
      </c>
      <c r="N71" t="str">
        <v>Scanner</v>
      </c>
    </row>
    <row r="72" spans="1:14" x14ac:dyDescent="0.25">
      <c r="A72" t="str">
        <v>Jagadeesh</v>
      </c>
      <c r="B72" t="str">
        <v>West</v>
      </c>
      <c r="C72" t="str">
        <v>Projector</v>
      </c>
      <c r="D72">
        <v>2</v>
      </c>
      <c r="E72">
        <v>97620</v>
      </c>
      <c r="F72">
        <v>45735</v>
      </c>
      <c r="J72" t="str">
        <v>Jagadeesh</v>
      </c>
      <c r="L72" t="str">
        <v>West</v>
      </c>
      <c r="N72" t="str">
        <v>Scanner</v>
      </c>
    </row>
    <row r="73" spans="1:14" x14ac:dyDescent="0.25">
      <c r="A73" t="str">
        <v>Jagadeesh</v>
      </c>
      <c r="B73" t="str">
        <v>East</v>
      </c>
      <c r="C73" t="str">
        <v>Webcam</v>
      </c>
      <c r="D73">
        <v>4</v>
      </c>
      <c r="E73">
        <v>59270</v>
      </c>
      <c r="F73">
        <v>45701</v>
      </c>
      <c r="J73" t="str">
        <v>Eashwar</v>
      </c>
      <c r="L73" t="str">
        <v>West</v>
      </c>
      <c r="N73" t="str">
        <v>Projector</v>
      </c>
    </row>
    <row r="74" spans="1:14" x14ac:dyDescent="0.25">
      <c r="A74" t="str">
        <v>Ramu</v>
      </c>
      <c r="B74" t="str">
        <v>West</v>
      </c>
      <c r="C74" t="str">
        <v>Webcam</v>
      </c>
      <c r="D74">
        <v>2</v>
      </c>
      <c r="E74">
        <v>53860</v>
      </c>
      <c r="F74">
        <v>45742</v>
      </c>
      <c r="J74" t="str">
        <v>Jagadeesh</v>
      </c>
      <c r="L74" t="str">
        <v>West</v>
      </c>
      <c r="N74" t="str">
        <v>Projector</v>
      </c>
    </row>
    <row r="75" spans="1:14" x14ac:dyDescent="0.25">
      <c r="A75" t="str">
        <v>Eashwar</v>
      </c>
      <c r="B75" t="str">
        <v>South</v>
      </c>
      <c r="C75" t="str">
        <v>Projector</v>
      </c>
      <c r="D75">
        <v>6</v>
      </c>
      <c r="E75">
        <v>85350</v>
      </c>
      <c r="F75">
        <v>45720</v>
      </c>
      <c r="J75" t="str">
        <v>Jagadeesh</v>
      </c>
      <c r="L75" t="str">
        <v>East</v>
      </c>
      <c r="N75" t="str">
        <v>Webcam</v>
      </c>
    </row>
    <row r="76" spans="1:14" x14ac:dyDescent="0.25">
      <c r="A76" t="str">
        <v>Sundeep</v>
      </c>
      <c r="B76" t="str">
        <v>South</v>
      </c>
      <c r="C76" t="str">
        <v>Printer</v>
      </c>
      <c r="D76">
        <v>4</v>
      </c>
      <c r="E76">
        <v>75440</v>
      </c>
      <c r="F76">
        <v>45727</v>
      </c>
      <c r="J76" t="str">
        <v>Ramu</v>
      </c>
      <c r="L76" t="str">
        <v>West</v>
      </c>
      <c r="N76" t="str">
        <v>Webcam</v>
      </c>
    </row>
    <row r="77" spans="1:14" x14ac:dyDescent="0.25">
      <c r="A77" t="str">
        <v>Eashwar</v>
      </c>
      <c r="B77" t="str">
        <v>South</v>
      </c>
      <c r="C77" t="str">
        <v>Laptop</v>
      </c>
      <c r="D77">
        <v>5</v>
      </c>
      <c r="E77">
        <v>99890</v>
      </c>
      <c r="F77">
        <v>45742</v>
      </c>
      <c r="J77" t="str">
        <v>Eashwar</v>
      </c>
      <c r="L77" t="str">
        <v>South</v>
      </c>
      <c r="N77" t="str">
        <v>Projector</v>
      </c>
    </row>
    <row r="78" spans="1:14" x14ac:dyDescent="0.25">
      <c r="A78" t="str">
        <v>Koushik</v>
      </c>
      <c r="B78" t="str">
        <v>South</v>
      </c>
      <c r="C78" t="str">
        <v>Projector</v>
      </c>
      <c r="D78">
        <v>6</v>
      </c>
      <c r="E78">
        <v>75320</v>
      </c>
      <c r="F78">
        <v>45732</v>
      </c>
      <c r="J78" t="str">
        <v>Sundeep</v>
      </c>
      <c r="L78" t="str">
        <v>South</v>
      </c>
      <c r="N78" t="str">
        <v>Printer</v>
      </c>
    </row>
    <row r="79" spans="1:14" x14ac:dyDescent="0.25">
      <c r="A79" t="str">
        <v>Sundeep</v>
      </c>
      <c r="B79" t="str">
        <v>East</v>
      </c>
      <c r="C79" t="str">
        <v>Projector</v>
      </c>
      <c r="D79">
        <v>6</v>
      </c>
      <c r="E79">
        <v>85690</v>
      </c>
      <c r="F79">
        <v>45661</v>
      </c>
      <c r="J79" t="str">
        <v>Eashwar</v>
      </c>
      <c r="L79" t="str">
        <v>South</v>
      </c>
      <c r="N79" t="str">
        <v>Laptop</v>
      </c>
    </row>
    <row r="80" spans="1:14" x14ac:dyDescent="0.25">
      <c r="A80" t="str">
        <v>Koushik</v>
      </c>
      <c r="B80" t="str">
        <v>North</v>
      </c>
      <c r="C80" t="str">
        <v>Projector</v>
      </c>
      <c r="D80">
        <v>5</v>
      </c>
      <c r="E80">
        <v>94010</v>
      </c>
      <c r="F80">
        <v>45718</v>
      </c>
      <c r="J80" t="str">
        <v>Koushik</v>
      </c>
      <c r="L80" t="str">
        <v>South</v>
      </c>
      <c r="N80" t="str">
        <v>Projector</v>
      </c>
    </row>
    <row r="81" spans="1:14" x14ac:dyDescent="0.25">
      <c r="A81" t="str">
        <v>Koushik</v>
      </c>
      <c r="B81" t="str">
        <v>North</v>
      </c>
      <c r="C81" t="str">
        <v>Printer</v>
      </c>
      <c r="D81">
        <v>6</v>
      </c>
      <c r="E81">
        <v>98610</v>
      </c>
      <c r="F81">
        <v>45726</v>
      </c>
      <c r="J81" t="str">
        <v>Sundeep</v>
      </c>
      <c r="L81" t="str">
        <v>East</v>
      </c>
      <c r="N81" t="str">
        <v>Projector</v>
      </c>
    </row>
    <row r="82" spans="1:14" x14ac:dyDescent="0.25">
      <c r="A82" t="str">
        <v>Koushik</v>
      </c>
      <c r="B82" t="str">
        <v>South</v>
      </c>
      <c r="C82" t="str">
        <v>Scanner</v>
      </c>
      <c r="D82">
        <v>5</v>
      </c>
      <c r="E82">
        <v>79210</v>
      </c>
      <c r="F82">
        <v>45666</v>
      </c>
      <c r="J82" t="str">
        <v>Koushik</v>
      </c>
      <c r="L82" t="str">
        <v>North</v>
      </c>
      <c r="N82" t="str">
        <v>Projector</v>
      </c>
    </row>
    <row r="83" spans="1:14" x14ac:dyDescent="0.25">
      <c r="A83" t="str">
        <v>Ramu</v>
      </c>
      <c r="B83" t="str">
        <v>West</v>
      </c>
      <c r="C83" t="str">
        <v>Laptop</v>
      </c>
      <c r="D83">
        <v>3</v>
      </c>
      <c r="E83">
        <v>50400</v>
      </c>
      <c r="F83">
        <v>45739</v>
      </c>
      <c r="J83" t="str">
        <v>Koushik</v>
      </c>
      <c r="L83" t="str">
        <v>North</v>
      </c>
      <c r="N83" t="str">
        <v>Printer</v>
      </c>
    </row>
    <row r="84" spans="1:14" x14ac:dyDescent="0.25">
      <c r="A84" t="str">
        <v>Ramu</v>
      </c>
      <c r="B84" t="str">
        <v>East</v>
      </c>
      <c r="C84" t="str">
        <v>Scanner</v>
      </c>
      <c r="D84">
        <v>4</v>
      </c>
      <c r="E84">
        <v>94290</v>
      </c>
      <c r="F84">
        <v>45706</v>
      </c>
      <c r="J84" t="str">
        <v>Koushik</v>
      </c>
      <c r="L84" t="str">
        <v>South</v>
      </c>
      <c r="N84" t="str">
        <v>Scanner</v>
      </c>
    </row>
    <row r="85" spans="1:14" x14ac:dyDescent="0.25">
      <c r="A85" t="str">
        <v>Ramu</v>
      </c>
      <c r="B85" t="str">
        <v>South</v>
      </c>
      <c r="C85" t="str">
        <v>Printer</v>
      </c>
      <c r="D85">
        <v>5</v>
      </c>
      <c r="E85">
        <v>85000</v>
      </c>
      <c r="F85">
        <v>45713</v>
      </c>
      <c r="J85" t="str">
        <v>Ramu</v>
      </c>
      <c r="L85" t="str">
        <v>West</v>
      </c>
      <c r="N85" t="str">
        <v>Laptop</v>
      </c>
    </row>
    <row r="86" spans="1:14" x14ac:dyDescent="0.25">
      <c r="A86" t="str">
        <v>Jagadeesh</v>
      </c>
      <c r="B86" t="str">
        <v>North</v>
      </c>
      <c r="C86" t="str">
        <v>Webcam</v>
      </c>
      <c r="D86">
        <v>1</v>
      </c>
      <c r="E86">
        <v>71470</v>
      </c>
      <c r="F86">
        <v>45737</v>
      </c>
      <c r="J86" t="str">
        <v>Ramu</v>
      </c>
      <c r="L86" t="str">
        <v>East</v>
      </c>
      <c r="N86" t="str">
        <v>Scanner</v>
      </c>
    </row>
    <row r="87" spans="1:14" x14ac:dyDescent="0.25">
      <c r="A87" t="str">
        <v>Sundeep</v>
      </c>
      <c r="B87" t="str">
        <v>West</v>
      </c>
      <c r="C87" t="str">
        <v>Laptop</v>
      </c>
      <c r="D87">
        <v>4</v>
      </c>
      <c r="E87">
        <v>70150</v>
      </c>
      <c r="F87">
        <v>45661</v>
      </c>
      <c r="J87" t="str">
        <v>Ramu</v>
      </c>
      <c r="L87" t="str">
        <v>South</v>
      </c>
      <c r="N87" t="str">
        <v>Printer</v>
      </c>
    </row>
    <row r="88" spans="1:14" x14ac:dyDescent="0.25">
      <c r="A88" t="str">
        <v>Eashwar</v>
      </c>
      <c r="B88" t="str">
        <v>North</v>
      </c>
      <c r="C88" t="str">
        <v>Scanner</v>
      </c>
      <c r="D88">
        <v>4</v>
      </c>
      <c r="E88">
        <v>71280</v>
      </c>
      <c r="F88">
        <v>45719</v>
      </c>
      <c r="J88" t="str">
        <v>Jagadeesh</v>
      </c>
      <c r="L88" t="str">
        <v>North</v>
      </c>
      <c r="N88" t="str">
        <v>Webcam</v>
      </c>
    </row>
    <row r="89" spans="1:14" x14ac:dyDescent="0.25">
      <c r="A89" t="str">
        <v>Koushik</v>
      </c>
      <c r="B89" t="str">
        <v>North</v>
      </c>
      <c r="C89" t="str">
        <v>Laptop</v>
      </c>
      <c r="D89">
        <v>5</v>
      </c>
      <c r="E89">
        <v>52780</v>
      </c>
      <c r="F89">
        <v>45660</v>
      </c>
      <c r="J89" t="str">
        <v>Sundeep</v>
      </c>
      <c r="L89" t="str">
        <v>West</v>
      </c>
      <c r="N89" t="str">
        <v>Laptop</v>
      </c>
    </row>
    <row r="90" spans="1:14" x14ac:dyDescent="0.25">
      <c r="A90" t="str">
        <v>Ramu</v>
      </c>
      <c r="B90" t="str">
        <v>East</v>
      </c>
      <c r="C90" t="str">
        <v>Printer</v>
      </c>
      <c r="D90">
        <v>4</v>
      </c>
      <c r="E90">
        <v>65340</v>
      </c>
      <c r="F90">
        <v>45745</v>
      </c>
      <c r="J90" t="str">
        <v>Eashwar</v>
      </c>
      <c r="L90" t="str">
        <v>North</v>
      </c>
      <c r="N90" t="str">
        <v>Scanner</v>
      </c>
    </row>
    <row r="91" spans="1:14" x14ac:dyDescent="0.25">
      <c r="A91" t="str">
        <v>Jagadeesh</v>
      </c>
      <c r="B91" t="str">
        <v>North</v>
      </c>
      <c r="C91" t="str">
        <v>Webcam</v>
      </c>
      <c r="D91">
        <v>1</v>
      </c>
      <c r="E91">
        <v>93600</v>
      </c>
      <c r="F91">
        <v>45703</v>
      </c>
      <c r="J91" t="str">
        <v>Koushik</v>
      </c>
      <c r="L91" t="str">
        <v>North</v>
      </c>
      <c r="N91" t="str">
        <v>Laptop</v>
      </c>
    </row>
    <row r="92" spans="1:14" x14ac:dyDescent="0.25">
      <c r="A92" t="str">
        <v>Sundeep</v>
      </c>
      <c r="B92" t="str">
        <v>West</v>
      </c>
      <c r="C92" t="str">
        <v>Projector</v>
      </c>
      <c r="D92">
        <v>4</v>
      </c>
      <c r="E92">
        <v>88530</v>
      </c>
      <c r="F92">
        <v>45689</v>
      </c>
      <c r="J92" t="str">
        <v>Ramu</v>
      </c>
      <c r="L92" t="str">
        <v>East</v>
      </c>
      <c r="N92" t="str">
        <v>Printer</v>
      </c>
    </row>
    <row r="93" spans="1:14" x14ac:dyDescent="0.25">
      <c r="A93" t="str">
        <v>Eashwar</v>
      </c>
      <c r="B93" t="str">
        <v>West</v>
      </c>
      <c r="C93" t="str">
        <v>Scanner</v>
      </c>
      <c r="D93">
        <v>4</v>
      </c>
      <c r="E93">
        <v>63040</v>
      </c>
      <c r="F93">
        <v>45682</v>
      </c>
      <c r="J93" t="str">
        <v>Jagadeesh</v>
      </c>
      <c r="L93" t="str">
        <v>North</v>
      </c>
      <c r="N93" t="str">
        <v>Webcam</v>
      </c>
    </row>
    <row r="94" spans="1:14" x14ac:dyDescent="0.25">
      <c r="A94" t="str">
        <v>Ramu</v>
      </c>
      <c r="B94" t="str">
        <v>West</v>
      </c>
      <c r="C94" t="str">
        <v>Projector</v>
      </c>
      <c r="D94">
        <v>2</v>
      </c>
      <c r="E94">
        <v>97820</v>
      </c>
      <c r="F94">
        <v>45685</v>
      </c>
      <c r="J94" t="str">
        <v>Sundeep</v>
      </c>
      <c r="L94" t="str">
        <v>West</v>
      </c>
      <c r="N94" t="str">
        <v>Projector</v>
      </c>
    </row>
    <row r="95" spans="1:14" x14ac:dyDescent="0.25">
      <c r="A95" t="str">
        <v>Jagadeesh</v>
      </c>
      <c r="B95" t="str">
        <v>West</v>
      </c>
      <c r="C95" t="str">
        <v>Webcam</v>
      </c>
      <c r="D95">
        <v>3</v>
      </c>
      <c r="E95">
        <v>59980</v>
      </c>
      <c r="F95">
        <v>45701</v>
      </c>
      <c r="J95" t="str">
        <v>Eashwar</v>
      </c>
      <c r="L95" t="str">
        <v>West</v>
      </c>
      <c r="N95" t="str">
        <v>Scanner</v>
      </c>
    </row>
    <row r="96" spans="1:14" x14ac:dyDescent="0.25">
      <c r="A96" t="str">
        <v>Sundeep</v>
      </c>
      <c r="B96" t="str">
        <v>East</v>
      </c>
      <c r="C96" t="str">
        <v>Webcam</v>
      </c>
      <c r="D96">
        <v>2</v>
      </c>
      <c r="E96">
        <v>67720</v>
      </c>
      <c r="F96">
        <v>45715</v>
      </c>
      <c r="J96" t="str">
        <v>Ramu</v>
      </c>
      <c r="L96" t="str">
        <v>West</v>
      </c>
      <c r="N96" t="str">
        <v>Projector</v>
      </c>
    </row>
    <row r="97" spans="1:14" x14ac:dyDescent="0.25">
      <c r="A97" t="str">
        <v>Koushik</v>
      </c>
      <c r="B97" t="str">
        <v>North</v>
      </c>
      <c r="C97" t="str">
        <v>Laptop</v>
      </c>
      <c r="D97">
        <v>5</v>
      </c>
      <c r="E97">
        <v>87320</v>
      </c>
      <c r="F97">
        <v>45730</v>
      </c>
      <c r="J97" t="str">
        <v>Jagadeesh</v>
      </c>
      <c r="L97" t="str">
        <v>West</v>
      </c>
      <c r="N97" t="str">
        <v>Webcam</v>
      </c>
    </row>
    <row r="98" spans="1:14" x14ac:dyDescent="0.25">
      <c r="A98" t="str">
        <v>Eashwar</v>
      </c>
      <c r="B98" t="str">
        <v>North</v>
      </c>
      <c r="C98" t="str">
        <v>Webcam</v>
      </c>
      <c r="D98">
        <v>5</v>
      </c>
      <c r="E98">
        <v>52740</v>
      </c>
      <c r="F98">
        <v>45700</v>
      </c>
      <c r="J98" t="str">
        <v>Sundeep</v>
      </c>
      <c r="L98" t="str">
        <v>East</v>
      </c>
      <c r="N98" t="str">
        <v>Webcam</v>
      </c>
    </row>
    <row r="99" spans="1:14" x14ac:dyDescent="0.25">
      <c r="A99" t="str">
        <v>Jagadeesh</v>
      </c>
      <c r="B99" t="str">
        <v>South</v>
      </c>
      <c r="C99" t="str">
        <v>Scanner</v>
      </c>
      <c r="D99">
        <v>5</v>
      </c>
      <c r="E99">
        <v>65170</v>
      </c>
      <c r="F99">
        <v>45687</v>
      </c>
      <c r="J99" t="str">
        <v>Koushik</v>
      </c>
      <c r="L99" t="str">
        <v>North</v>
      </c>
      <c r="N99" t="str">
        <v>Laptop</v>
      </c>
    </row>
    <row r="100" spans="1:14" x14ac:dyDescent="0.25">
      <c r="A100" t="str">
        <v>Eashwar</v>
      </c>
      <c r="B100" t="str">
        <v>West</v>
      </c>
      <c r="C100" t="str">
        <v>Laptop</v>
      </c>
      <c r="D100">
        <v>4</v>
      </c>
      <c r="E100">
        <v>72340</v>
      </c>
      <c r="F100">
        <v>45732</v>
      </c>
      <c r="J100" t="str">
        <v>Eashwar</v>
      </c>
      <c r="L100" t="str">
        <v>North</v>
      </c>
      <c r="N100" t="str">
        <v>Webcam</v>
      </c>
    </row>
    <row r="101" spans="1:14" x14ac:dyDescent="0.25">
      <c r="J101" t="str">
        <v>Jagadeesh</v>
      </c>
      <c r="L101" t="str">
        <v>South</v>
      </c>
      <c r="N101" t="str">
        <v>Scanner</v>
      </c>
    </row>
    <row r="102" spans="1:14" x14ac:dyDescent="0.25">
      <c r="J102" t="str">
        <v>Eashwar</v>
      </c>
      <c r="L102" t="str">
        <v>West</v>
      </c>
      <c r="N102" t="str">
        <v>Laptop</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BFD5-F390-4F54-AA06-544083CC5065}">
  <dimension ref="B1:O103"/>
  <sheetViews>
    <sheetView workbookViewId="0">
      <selection activeCell="L8" sqref="L8"/>
    </sheetView>
  </sheetViews>
  <sheetFormatPr defaultRowHeight="15" x14ac:dyDescent="0.25"/>
  <sheetData>
    <row r="1" spans="2:15" x14ac:dyDescent="0.25">
      <c r="B1" t="str" cm="1">
        <f t="array" ref="B1:G1">Sales2[#Headers]</f>
        <v>Agent</v>
      </c>
      <c r="C1" t="str">
        <v>Region</v>
      </c>
      <c r="D1" t="str">
        <v>Product</v>
      </c>
      <c r="E1" t="str">
        <v>Units</v>
      </c>
      <c r="F1" t="str">
        <v>Amount</v>
      </c>
      <c r="G1" t="str">
        <v>Date</v>
      </c>
    </row>
    <row r="3" spans="2:15" x14ac:dyDescent="0.25">
      <c r="J3" t="str" cm="1">
        <f t="array" ref="J3:O3">Sales2[#Totals]</f>
        <v>Total</v>
      </c>
      <c r="K3">
        <v>0</v>
      </c>
      <c r="L3">
        <v>0</v>
      </c>
      <c r="M3">
        <v>0</v>
      </c>
      <c r="N3">
        <v>0</v>
      </c>
      <c r="O3">
        <v>100</v>
      </c>
    </row>
    <row r="4" spans="2:15" x14ac:dyDescent="0.25">
      <c r="B4" t="str" cm="1">
        <f t="array" ref="B4:G103">Sales2[#Data]</f>
        <v>Koushik</v>
      </c>
      <c r="C4" t="str">
        <v>South</v>
      </c>
      <c r="D4" t="str">
        <v>Projector</v>
      </c>
      <c r="E4">
        <v>3</v>
      </c>
      <c r="F4">
        <v>99590</v>
      </c>
      <c r="G4">
        <v>45669</v>
      </c>
    </row>
    <row r="5" spans="2:15" x14ac:dyDescent="0.25">
      <c r="B5" t="str">
        <v>Ramu</v>
      </c>
      <c r="C5" t="str">
        <v>North</v>
      </c>
      <c r="D5" t="str">
        <v>Printer</v>
      </c>
      <c r="E5">
        <v>6</v>
      </c>
      <c r="F5">
        <v>93600</v>
      </c>
      <c r="G5">
        <v>45695</v>
      </c>
    </row>
    <row r="6" spans="2:15" x14ac:dyDescent="0.25">
      <c r="B6" t="str">
        <v>Jagadeesh</v>
      </c>
      <c r="C6" t="str">
        <v>West</v>
      </c>
      <c r="D6" t="str">
        <v>Webcam</v>
      </c>
      <c r="E6">
        <v>1</v>
      </c>
      <c r="F6">
        <v>92480</v>
      </c>
      <c r="G6">
        <v>45678</v>
      </c>
    </row>
    <row r="7" spans="2:15" x14ac:dyDescent="0.25">
      <c r="B7" t="str">
        <v>Jagadeesh</v>
      </c>
      <c r="C7" t="str">
        <v>West</v>
      </c>
      <c r="D7" t="str">
        <v>Printer</v>
      </c>
      <c r="E7">
        <v>6</v>
      </c>
      <c r="F7">
        <v>84870</v>
      </c>
      <c r="G7">
        <v>45741</v>
      </c>
    </row>
    <row r="8" spans="2:15" x14ac:dyDescent="0.25">
      <c r="B8" t="str">
        <v>Sundeep</v>
      </c>
      <c r="C8" t="str">
        <v>West</v>
      </c>
      <c r="D8" t="str">
        <v>Webcam</v>
      </c>
      <c r="E8">
        <v>3</v>
      </c>
      <c r="F8">
        <v>59650</v>
      </c>
      <c r="G8">
        <v>45708</v>
      </c>
    </row>
    <row r="9" spans="2:15" x14ac:dyDescent="0.25">
      <c r="B9" t="str">
        <v>Eashwar</v>
      </c>
      <c r="C9" t="str">
        <v>South</v>
      </c>
      <c r="D9" t="str">
        <v>Webcam</v>
      </c>
      <c r="E9">
        <v>6</v>
      </c>
      <c r="F9">
        <v>57300</v>
      </c>
      <c r="G9">
        <v>45665</v>
      </c>
    </row>
    <row r="10" spans="2:15" x14ac:dyDescent="0.25">
      <c r="B10" t="str">
        <v>Eashwar</v>
      </c>
      <c r="C10" t="str">
        <v>East</v>
      </c>
      <c r="D10" t="str">
        <v>Scanner</v>
      </c>
      <c r="E10">
        <v>2</v>
      </c>
      <c r="F10">
        <v>83910</v>
      </c>
      <c r="G10">
        <v>45741</v>
      </c>
    </row>
    <row r="11" spans="2:15" x14ac:dyDescent="0.25">
      <c r="B11" t="str">
        <v>Sundeep</v>
      </c>
      <c r="C11" t="str">
        <v>South</v>
      </c>
      <c r="D11" t="str">
        <v>Laptop</v>
      </c>
      <c r="E11">
        <v>5</v>
      </c>
      <c r="F11">
        <v>81810</v>
      </c>
      <c r="G11">
        <v>45685</v>
      </c>
    </row>
    <row r="12" spans="2:15" x14ac:dyDescent="0.25">
      <c r="B12" t="str">
        <v>Ramu</v>
      </c>
      <c r="C12" t="str">
        <v>South</v>
      </c>
      <c r="D12" t="str">
        <v>Laptop</v>
      </c>
      <c r="E12">
        <v>1</v>
      </c>
      <c r="F12">
        <v>70650</v>
      </c>
      <c r="G12">
        <v>45659</v>
      </c>
    </row>
    <row r="13" spans="2:15" x14ac:dyDescent="0.25">
      <c r="B13" t="str">
        <v>Eashwar</v>
      </c>
      <c r="C13" t="str">
        <v>South</v>
      </c>
      <c r="D13" t="str">
        <v>Projector</v>
      </c>
      <c r="E13">
        <v>4</v>
      </c>
      <c r="F13">
        <v>53750</v>
      </c>
      <c r="G13">
        <v>45708</v>
      </c>
    </row>
    <row r="14" spans="2:15" x14ac:dyDescent="0.25">
      <c r="B14" t="str">
        <v>Ramu</v>
      </c>
      <c r="C14" t="str">
        <v>East</v>
      </c>
      <c r="D14" t="str">
        <v>Printer</v>
      </c>
      <c r="E14">
        <v>4</v>
      </c>
      <c r="F14">
        <v>84320</v>
      </c>
      <c r="G14">
        <v>45694</v>
      </c>
    </row>
    <row r="15" spans="2:15" x14ac:dyDescent="0.25">
      <c r="B15" t="str">
        <v>Eashwar</v>
      </c>
      <c r="C15" t="str">
        <v>East</v>
      </c>
      <c r="D15" t="str">
        <v>Printer</v>
      </c>
      <c r="E15">
        <v>1</v>
      </c>
      <c r="F15">
        <v>79860</v>
      </c>
      <c r="G15">
        <v>45697</v>
      </c>
    </row>
    <row r="16" spans="2:15" x14ac:dyDescent="0.25">
      <c r="B16" t="str">
        <v>Sundeep</v>
      </c>
      <c r="C16" t="str">
        <v>North</v>
      </c>
      <c r="D16" t="str">
        <v>Webcam</v>
      </c>
      <c r="E16">
        <v>3</v>
      </c>
      <c r="F16">
        <v>88160</v>
      </c>
      <c r="G16">
        <v>45672</v>
      </c>
    </row>
    <row r="17" spans="2:7" x14ac:dyDescent="0.25">
      <c r="B17" t="str">
        <v>Jagadeesh</v>
      </c>
      <c r="C17" t="str">
        <v>West</v>
      </c>
      <c r="D17" t="str">
        <v>Scanner</v>
      </c>
      <c r="E17">
        <v>3</v>
      </c>
      <c r="F17">
        <v>71020</v>
      </c>
      <c r="G17">
        <v>45709</v>
      </c>
    </row>
    <row r="18" spans="2:7" x14ac:dyDescent="0.25">
      <c r="B18" t="str">
        <v>Eashwar</v>
      </c>
      <c r="C18" t="str">
        <v>West</v>
      </c>
      <c r="D18" t="str">
        <v>Laptop</v>
      </c>
      <c r="E18">
        <v>1</v>
      </c>
      <c r="F18">
        <v>54200</v>
      </c>
      <c r="G18">
        <v>45687</v>
      </c>
    </row>
    <row r="19" spans="2:7" x14ac:dyDescent="0.25">
      <c r="B19" t="str">
        <v>Koushik</v>
      </c>
      <c r="C19" t="str">
        <v>West</v>
      </c>
      <c r="D19" t="str">
        <v>Webcam</v>
      </c>
      <c r="E19">
        <v>5</v>
      </c>
      <c r="F19">
        <v>58660</v>
      </c>
      <c r="G19">
        <v>45672</v>
      </c>
    </row>
    <row r="20" spans="2:7" x14ac:dyDescent="0.25">
      <c r="B20" t="str">
        <v>Jagadeesh</v>
      </c>
      <c r="C20" t="str">
        <v>South</v>
      </c>
      <c r="D20" t="str">
        <v>Laptop</v>
      </c>
      <c r="E20">
        <v>1</v>
      </c>
      <c r="F20">
        <v>67010</v>
      </c>
      <c r="G20">
        <v>45708</v>
      </c>
    </row>
    <row r="21" spans="2:7" x14ac:dyDescent="0.25">
      <c r="B21" t="str">
        <v>Jagadeesh</v>
      </c>
      <c r="C21" t="str">
        <v>South</v>
      </c>
      <c r="D21" t="str">
        <v>Webcam</v>
      </c>
      <c r="E21">
        <v>6</v>
      </c>
      <c r="F21">
        <v>95090</v>
      </c>
      <c r="G21">
        <v>45698</v>
      </c>
    </row>
    <row r="22" spans="2:7" x14ac:dyDescent="0.25">
      <c r="B22" t="str">
        <v>Koushik</v>
      </c>
      <c r="C22" t="str">
        <v>East</v>
      </c>
      <c r="D22" t="str">
        <v>Projector</v>
      </c>
      <c r="E22">
        <v>1</v>
      </c>
      <c r="F22">
        <v>52280</v>
      </c>
      <c r="G22">
        <v>45661</v>
      </c>
    </row>
    <row r="23" spans="2:7" x14ac:dyDescent="0.25">
      <c r="B23" t="str">
        <v>Sundeep</v>
      </c>
      <c r="C23" t="str">
        <v>South</v>
      </c>
      <c r="D23" t="str">
        <v>Webcam</v>
      </c>
      <c r="E23">
        <v>4</v>
      </c>
      <c r="F23">
        <v>97670</v>
      </c>
      <c r="G23">
        <v>45716</v>
      </c>
    </row>
    <row r="24" spans="2:7" x14ac:dyDescent="0.25">
      <c r="B24" t="str">
        <v>Eashwar</v>
      </c>
      <c r="C24" t="str">
        <v>North</v>
      </c>
      <c r="D24" t="str">
        <v>Laptop</v>
      </c>
      <c r="E24">
        <v>6</v>
      </c>
      <c r="F24">
        <v>74990</v>
      </c>
      <c r="G24">
        <v>45697</v>
      </c>
    </row>
    <row r="25" spans="2:7" x14ac:dyDescent="0.25">
      <c r="B25" t="str">
        <v>Jagadeesh</v>
      </c>
      <c r="C25" t="str">
        <v>North</v>
      </c>
      <c r="D25" t="str">
        <v>Printer</v>
      </c>
      <c r="E25">
        <v>5</v>
      </c>
      <c r="F25">
        <v>70050</v>
      </c>
      <c r="G25">
        <v>45672</v>
      </c>
    </row>
    <row r="26" spans="2:7" x14ac:dyDescent="0.25">
      <c r="B26" t="str">
        <v>Eashwar</v>
      </c>
      <c r="C26" t="str">
        <v>East</v>
      </c>
      <c r="D26" t="str">
        <v>Webcam</v>
      </c>
      <c r="E26">
        <v>6</v>
      </c>
      <c r="F26">
        <v>62820</v>
      </c>
      <c r="G26">
        <v>45708</v>
      </c>
    </row>
    <row r="27" spans="2:7" x14ac:dyDescent="0.25">
      <c r="B27" t="str">
        <v>Jagadeesh</v>
      </c>
      <c r="C27" t="str">
        <v>West</v>
      </c>
      <c r="D27" t="str">
        <v>Laptop</v>
      </c>
      <c r="E27">
        <v>2</v>
      </c>
      <c r="F27">
        <v>80400</v>
      </c>
      <c r="G27">
        <v>45666</v>
      </c>
    </row>
    <row r="28" spans="2:7" x14ac:dyDescent="0.25">
      <c r="B28" t="str">
        <v>Jagadeesh</v>
      </c>
      <c r="C28" t="str">
        <v>East</v>
      </c>
      <c r="D28" t="str">
        <v>Projector</v>
      </c>
      <c r="E28">
        <v>6</v>
      </c>
      <c r="F28">
        <v>88020</v>
      </c>
      <c r="G28">
        <v>45734</v>
      </c>
    </row>
    <row r="29" spans="2:7" x14ac:dyDescent="0.25">
      <c r="B29" t="str">
        <v>Eashwar</v>
      </c>
      <c r="C29" t="str">
        <v>North</v>
      </c>
      <c r="D29" t="str">
        <v>Webcam</v>
      </c>
      <c r="E29">
        <v>3</v>
      </c>
      <c r="F29">
        <v>63480</v>
      </c>
      <c r="G29">
        <v>45686</v>
      </c>
    </row>
    <row r="30" spans="2:7" x14ac:dyDescent="0.25">
      <c r="B30" t="str">
        <v>Koushik</v>
      </c>
      <c r="C30" t="str">
        <v>West</v>
      </c>
      <c r="D30" t="str">
        <v>Printer</v>
      </c>
      <c r="E30">
        <v>6</v>
      </c>
      <c r="F30">
        <v>52400</v>
      </c>
      <c r="G30">
        <v>45705</v>
      </c>
    </row>
    <row r="31" spans="2:7" x14ac:dyDescent="0.25">
      <c r="B31" t="str">
        <v>Ramu</v>
      </c>
      <c r="C31" t="str">
        <v>East</v>
      </c>
      <c r="D31" t="str">
        <v>Laptop</v>
      </c>
      <c r="E31">
        <v>3</v>
      </c>
      <c r="F31">
        <v>84980</v>
      </c>
      <c r="G31">
        <v>45695</v>
      </c>
    </row>
    <row r="32" spans="2:7" x14ac:dyDescent="0.25">
      <c r="B32" t="str">
        <v>Sundeep</v>
      </c>
      <c r="C32" t="str">
        <v>East</v>
      </c>
      <c r="D32" t="str">
        <v>Printer</v>
      </c>
      <c r="E32">
        <v>6</v>
      </c>
      <c r="F32">
        <v>84370</v>
      </c>
      <c r="G32">
        <v>45731</v>
      </c>
    </row>
    <row r="33" spans="2:7" x14ac:dyDescent="0.25">
      <c r="B33" t="str">
        <v>Eashwar</v>
      </c>
      <c r="C33" t="str">
        <v>West</v>
      </c>
      <c r="D33" t="str">
        <v>Printer</v>
      </c>
      <c r="E33">
        <v>4</v>
      </c>
      <c r="F33">
        <v>60220</v>
      </c>
      <c r="G33">
        <v>45719</v>
      </c>
    </row>
    <row r="34" spans="2:7" x14ac:dyDescent="0.25">
      <c r="B34" t="str">
        <v>Eashwar</v>
      </c>
      <c r="C34" t="str">
        <v>East</v>
      </c>
      <c r="D34" t="str">
        <v>Projector</v>
      </c>
      <c r="E34">
        <v>2</v>
      </c>
      <c r="F34">
        <v>80660</v>
      </c>
      <c r="G34">
        <v>45701</v>
      </c>
    </row>
    <row r="35" spans="2:7" x14ac:dyDescent="0.25">
      <c r="B35" t="str">
        <v>Jagadeesh</v>
      </c>
      <c r="C35" t="str">
        <v>East</v>
      </c>
      <c r="D35" t="str">
        <v>Projector</v>
      </c>
      <c r="E35">
        <v>1</v>
      </c>
      <c r="F35">
        <v>78220</v>
      </c>
      <c r="G35">
        <v>45713</v>
      </c>
    </row>
    <row r="36" spans="2:7" x14ac:dyDescent="0.25">
      <c r="B36" t="str">
        <v>Eashwar</v>
      </c>
      <c r="C36" t="str">
        <v>North</v>
      </c>
      <c r="D36" t="str">
        <v>Laptop</v>
      </c>
      <c r="E36">
        <v>3</v>
      </c>
      <c r="F36">
        <v>62210</v>
      </c>
      <c r="G36">
        <v>45663</v>
      </c>
    </row>
    <row r="37" spans="2:7" x14ac:dyDescent="0.25">
      <c r="B37" t="str">
        <v>Koushik</v>
      </c>
      <c r="C37" t="str">
        <v>North</v>
      </c>
      <c r="D37" t="str">
        <v>Printer</v>
      </c>
      <c r="E37">
        <v>1</v>
      </c>
      <c r="F37">
        <v>89380</v>
      </c>
      <c r="G37">
        <v>45696</v>
      </c>
    </row>
    <row r="38" spans="2:7" x14ac:dyDescent="0.25">
      <c r="B38" t="str">
        <v>Jagadeesh</v>
      </c>
      <c r="C38" t="str">
        <v>South</v>
      </c>
      <c r="D38" t="str">
        <v>Laptop</v>
      </c>
      <c r="E38">
        <v>5</v>
      </c>
      <c r="F38">
        <v>67330</v>
      </c>
      <c r="G38">
        <v>45706</v>
      </c>
    </row>
    <row r="39" spans="2:7" x14ac:dyDescent="0.25">
      <c r="B39" t="str">
        <v>Koushik</v>
      </c>
      <c r="C39" t="str">
        <v>South</v>
      </c>
      <c r="D39" t="str">
        <v>Projector</v>
      </c>
      <c r="E39">
        <v>5</v>
      </c>
      <c r="F39">
        <v>80880</v>
      </c>
      <c r="G39">
        <v>45736</v>
      </c>
    </row>
    <row r="40" spans="2:7" x14ac:dyDescent="0.25">
      <c r="B40" t="str">
        <v>Jagadeesh</v>
      </c>
      <c r="C40" t="str">
        <v>East</v>
      </c>
      <c r="D40" t="str">
        <v>Projector</v>
      </c>
      <c r="E40">
        <v>1</v>
      </c>
      <c r="F40">
        <v>62610</v>
      </c>
      <c r="G40">
        <v>45706</v>
      </c>
    </row>
    <row r="41" spans="2:7" x14ac:dyDescent="0.25">
      <c r="B41" t="str">
        <v>Sundeep</v>
      </c>
      <c r="C41" t="str">
        <v>North</v>
      </c>
      <c r="D41" t="str">
        <v>Projector</v>
      </c>
      <c r="E41">
        <v>2</v>
      </c>
      <c r="F41">
        <v>95860</v>
      </c>
      <c r="G41">
        <v>45688</v>
      </c>
    </row>
    <row r="42" spans="2:7" x14ac:dyDescent="0.25">
      <c r="B42" t="str">
        <v>Sundeep</v>
      </c>
      <c r="C42" t="str">
        <v>North</v>
      </c>
      <c r="D42" t="str">
        <v>Laptop</v>
      </c>
      <c r="E42">
        <v>2</v>
      </c>
      <c r="F42">
        <v>91690</v>
      </c>
      <c r="G42">
        <v>45676</v>
      </c>
    </row>
    <row r="43" spans="2:7" x14ac:dyDescent="0.25">
      <c r="B43" t="str">
        <v>Sundeep</v>
      </c>
      <c r="C43" t="str">
        <v>West</v>
      </c>
      <c r="D43" t="str">
        <v>Laptop</v>
      </c>
      <c r="E43">
        <v>2</v>
      </c>
      <c r="F43">
        <v>76080</v>
      </c>
      <c r="G43">
        <v>45662</v>
      </c>
    </row>
    <row r="44" spans="2:7" x14ac:dyDescent="0.25">
      <c r="B44" t="str">
        <v>Jagadeesh</v>
      </c>
      <c r="C44" t="str">
        <v>East</v>
      </c>
      <c r="D44" t="str">
        <v>Scanner</v>
      </c>
      <c r="E44">
        <v>3</v>
      </c>
      <c r="F44">
        <v>83990</v>
      </c>
      <c r="G44">
        <v>45669</v>
      </c>
    </row>
    <row r="45" spans="2:7" x14ac:dyDescent="0.25">
      <c r="B45" t="str">
        <v>Jagadeesh</v>
      </c>
      <c r="C45" t="str">
        <v>West</v>
      </c>
      <c r="D45" t="str">
        <v>Laptop</v>
      </c>
      <c r="E45">
        <v>4</v>
      </c>
      <c r="F45">
        <v>82550</v>
      </c>
      <c r="G45">
        <v>45727</v>
      </c>
    </row>
    <row r="46" spans="2:7" x14ac:dyDescent="0.25">
      <c r="B46" t="str">
        <v>Sundeep</v>
      </c>
      <c r="C46" t="str">
        <v>North</v>
      </c>
      <c r="D46" t="str">
        <v>Projector</v>
      </c>
      <c r="E46">
        <v>6</v>
      </c>
      <c r="F46">
        <v>90660</v>
      </c>
      <c r="G46">
        <v>45666</v>
      </c>
    </row>
    <row r="47" spans="2:7" x14ac:dyDescent="0.25">
      <c r="B47" t="str">
        <v>Eashwar</v>
      </c>
      <c r="C47" t="str">
        <v>West</v>
      </c>
      <c r="D47" t="str">
        <v>Projector</v>
      </c>
      <c r="E47">
        <v>3</v>
      </c>
      <c r="F47">
        <v>72580</v>
      </c>
      <c r="G47">
        <v>45706</v>
      </c>
    </row>
    <row r="48" spans="2:7" x14ac:dyDescent="0.25">
      <c r="B48" t="str">
        <v>Koushik</v>
      </c>
      <c r="C48" t="str">
        <v>North</v>
      </c>
      <c r="D48" t="str">
        <v>Laptop</v>
      </c>
      <c r="E48">
        <v>4</v>
      </c>
      <c r="F48">
        <v>88250</v>
      </c>
      <c r="G48">
        <v>45680</v>
      </c>
    </row>
    <row r="49" spans="2:7" x14ac:dyDescent="0.25">
      <c r="B49" t="str">
        <v>Eashwar</v>
      </c>
      <c r="C49" t="str">
        <v>West</v>
      </c>
      <c r="D49" t="str">
        <v>Webcam</v>
      </c>
      <c r="E49">
        <v>5</v>
      </c>
      <c r="F49">
        <v>85220</v>
      </c>
      <c r="G49">
        <v>45730</v>
      </c>
    </row>
    <row r="50" spans="2:7" x14ac:dyDescent="0.25">
      <c r="B50" t="str">
        <v>Jagadeesh</v>
      </c>
      <c r="C50" t="str">
        <v>West</v>
      </c>
      <c r="D50" t="str">
        <v>Projector</v>
      </c>
      <c r="E50">
        <v>5</v>
      </c>
      <c r="F50">
        <v>65870</v>
      </c>
      <c r="G50">
        <v>45671</v>
      </c>
    </row>
    <row r="51" spans="2:7" x14ac:dyDescent="0.25">
      <c r="B51" t="str">
        <v>Koushik</v>
      </c>
      <c r="C51" t="str">
        <v>East</v>
      </c>
      <c r="D51" t="str">
        <v>Projector</v>
      </c>
      <c r="E51">
        <v>1</v>
      </c>
      <c r="F51">
        <v>96040</v>
      </c>
      <c r="G51">
        <v>45736</v>
      </c>
    </row>
    <row r="52" spans="2:7" x14ac:dyDescent="0.25">
      <c r="B52" t="str">
        <v>Koushik</v>
      </c>
      <c r="C52" t="str">
        <v>West</v>
      </c>
      <c r="D52" t="str">
        <v>Scanner</v>
      </c>
      <c r="E52">
        <v>1</v>
      </c>
      <c r="F52">
        <v>77870</v>
      </c>
      <c r="G52">
        <v>45717</v>
      </c>
    </row>
    <row r="53" spans="2:7" x14ac:dyDescent="0.25">
      <c r="B53" t="str">
        <v>Eashwar</v>
      </c>
      <c r="C53" t="str">
        <v>South</v>
      </c>
      <c r="D53" t="str">
        <v>Webcam</v>
      </c>
      <c r="E53">
        <v>6</v>
      </c>
      <c r="F53">
        <v>74760</v>
      </c>
      <c r="G53">
        <v>45717</v>
      </c>
    </row>
    <row r="54" spans="2:7" x14ac:dyDescent="0.25">
      <c r="B54" t="str">
        <v>Ramu</v>
      </c>
      <c r="C54" t="str">
        <v>North</v>
      </c>
      <c r="D54" t="str">
        <v>Scanner</v>
      </c>
      <c r="E54">
        <v>4</v>
      </c>
      <c r="F54">
        <v>54590</v>
      </c>
      <c r="G54">
        <v>45664</v>
      </c>
    </row>
    <row r="55" spans="2:7" x14ac:dyDescent="0.25">
      <c r="B55" t="str">
        <v>Jagadeesh</v>
      </c>
      <c r="C55" t="str">
        <v>East</v>
      </c>
      <c r="D55" t="str">
        <v>Scanner</v>
      </c>
      <c r="E55">
        <v>4</v>
      </c>
      <c r="F55">
        <v>94890</v>
      </c>
      <c r="G55">
        <v>45659</v>
      </c>
    </row>
    <row r="56" spans="2:7" x14ac:dyDescent="0.25">
      <c r="B56" t="str">
        <v>Koushik</v>
      </c>
      <c r="C56" t="str">
        <v>South</v>
      </c>
      <c r="D56" t="str">
        <v>Projector</v>
      </c>
      <c r="E56">
        <v>2</v>
      </c>
      <c r="F56">
        <v>64110</v>
      </c>
      <c r="G56">
        <v>45743</v>
      </c>
    </row>
    <row r="57" spans="2:7" x14ac:dyDescent="0.25">
      <c r="B57" t="str">
        <v>Jagadeesh</v>
      </c>
      <c r="C57" t="str">
        <v>East</v>
      </c>
      <c r="D57" t="str">
        <v>Webcam</v>
      </c>
      <c r="E57">
        <v>3</v>
      </c>
      <c r="F57">
        <v>81540</v>
      </c>
      <c r="G57">
        <v>45675</v>
      </c>
    </row>
    <row r="58" spans="2:7" x14ac:dyDescent="0.25">
      <c r="B58" t="str">
        <v>Sundeep</v>
      </c>
      <c r="C58" t="str">
        <v>North</v>
      </c>
      <c r="D58" t="str">
        <v>Printer</v>
      </c>
      <c r="E58">
        <v>4</v>
      </c>
      <c r="F58">
        <v>90290</v>
      </c>
      <c r="G58">
        <v>45690</v>
      </c>
    </row>
    <row r="59" spans="2:7" x14ac:dyDescent="0.25">
      <c r="B59" t="str">
        <v>Jagadeesh</v>
      </c>
      <c r="C59" t="str">
        <v>West</v>
      </c>
      <c r="D59" t="str">
        <v>Webcam</v>
      </c>
      <c r="E59">
        <v>1</v>
      </c>
      <c r="F59">
        <v>89670</v>
      </c>
      <c r="G59">
        <v>45745</v>
      </c>
    </row>
    <row r="60" spans="2:7" x14ac:dyDescent="0.25">
      <c r="B60" t="str">
        <v>Sundeep</v>
      </c>
      <c r="C60" t="str">
        <v>South</v>
      </c>
      <c r="D60" t="str">
        <v>Laptop</v>
      </c>
      <c r="E60">
        <v>3</v>
      </c>
      <c r="F60">
        <v>53430</v>
      </c>
      <c r="G60">
        <v>45726</v>
      </c>
    </row>
    <row r="61" spans="2:7" x14ac:dyDescent="0.25">
      <c r="B61" t="str">
        <v>Eashwar</v>
      </c>
      <c r="C61" t="str">
        <v>South</v>
      </c>
      <c r="D61" t="str">
        <v>Scanner</v>
      </c>
      <c r="E61">
        <v>3</v>
      </c>
      <c r="F61">
        <v>83070</v>
      </c>
      <c r="G61">
        <v>45724</v>
      </c>
    </row>
    <row r="62" spans="2:7" x14ac:dyDescent="0.25">
      <c r="B62" t="str">
        <v>Sundeep</v>
      </c>
      <c r="C62" t="str">
        <v>South</v>
      </c>
      <c r="D62" t="str">
        <v>Projector</v>
      </c>
      <c r="E62">
        <v>4</v>
      </c>
      <c r="F62">
        <v>86990</v>
      </c>
      <c r="G62">
        <v>45679</v>
      </c>
    </row>
    <row r="63" spans="2:7" x14ac:dyDescent="0.25">
      <c r="B63" t="str">
        <v>Ramu</v>
      </c>
      <c r="C63" t="str">
        <v>East</v>
      </c>
      <c r="D63" t="str">
        <v>Webcam</v>
      </c>
      <c r="E63">
        <v>3</v>
      </c>
      <c r="F63">
        <v>66530</v>
      </c>
      <c r="G63">
        <v>45690</v>
      </c>
    </row>
    <row r="64" spans="2:7" x14ac:dyDescent="0.25">
      <c r="B64" t="str">
        <v>Ramu</v>
      </c>
      <c r="C64" t="str">
        <v>North</v>
      </c>
      <c r="D64" t="str">
        <v>Scanner</v>
      </c>
      <c r="E64">
        <v>3</v>
      </c>
      <c r="F64">
        <v>92810</v>
      </c>
      <c r="G64">
        <v>45695</v>
      </c>
    </row>
    <row r="65" spans="2:7" x14ac:dyDescent="0.25">
      <c r="B65" t="str">
        <v>Koushik</v>
      </c>
      <c r="C65" t="str">
        <v>North</v>
      </c>
      <c r="D65" t="str">
        <v>Webcam</v>
      </c>
      <c r="E65">
        <v>3</v>
      </c>
      <c r="F65">
        <v>98920</v>
      </c>
      <c r="G65">
        <v>45658</v>
      </c>
    </row>
    <row r="66" spans="2:7" x14ac:dyDescent="0.25">
      <c r="B66" t="str">
        <v>Koushik</v>
      </c>
      <c r="C66" t="str">
        <v>East</v>
      </c>
      <c r="D66" t="str">
        <v>Webcam</v>
      </c>
      <c r="E66">
        <v>3</v>
      </c>
      <c r="F66">
        <v>95080</v>
      </c>
      <c r="G66">
        <v>45696</v>
      </c>
    </row>
    <row r="67" spans="2:7" x14ac:dyDescent="0.25">
      <c r="B67" t="str">
        <v>Sundeep</v>
      </c>
      <c r="C67" t="str">
        <v>East</v>
      </c>
      <c r="D67" t="str">
        <v>Webcam</v>
      </c>
      <c r="E67">
        <v>3</v>
      </c>
      <c r="F67">
        <v>53630</v>
      </c>
      <c r="G67">
        <v>45700</v>
      </c>
    </row>
    <row r="68" spans="2:7" x14ac:dyDescent="0.25">
      <c r="B68" t="str">
        <v>Sundeep</v>
      </c>
      <c r="C68" t="str">
        <v>South</v>
      </c>
      <c r="D68" t="str">
        <v>Webcam</v>
      </c>
      <c r="E68">
        <v>1</v>
      </c>
      <c r="F68">
        <v>66750</v>
      </c>
      <c r="G68">
        <v>45680</v>
      </c>
    </row>
    <row r="69" spans="2:7" x14ac:dyDescent="0.25">
      <c r="B69" t="str">
        <v>Eashwar</v>
      </c>
      <c r="C69" t="str">
        <v>West</v>
      </c>
      <c r="D69" t="str">
        <v>Webcam</v>
      </c>
      <c r="E69">
        <v>5</v>
      </c>
      <c r="F69">
        <v>68730</v>
      </c>
      <c r="G69">
        <v>45726</v>
      </c>
    </row>
    <row r="70" spans="2:7" x14ac:dyDescent="0.25">
      <c r="B70" t="str">
        <v>Jagadeesh</v>
      </c>
      <c r="C70" t="str">
        <v>South</v>
      </c>
      <c r="D70" t="str">
        <v>Projector</v>
      </c>
      <c r="E70">
        <v>2</v>
      </c>
      <c r="F70">
        <v>81740</v>
      </c>
      <c r="G70">
        <v>45716</v>
      </c>
    </row>
    <row r="71" spans="2:7" x14ac:dyDescent="0.25">
      <c r="B71" t="str">
        <v>Ramu</v>
      </c>
      <c r="C71" t="str">
        <v>East</v>
      </c>
      <c r="D71" t="str">
        <v>Webcam</v>
      </c>
      <c r="E71">
        <v>3</v>
      </c>
      <c r="F71">
        <v>68500</v>
      </c>
      <c r="G71">
        <v>45661</v>
      </c>
    </row>
    <row r="72" spans="2:7" x14ac:dyDescent="0.25">
      <c r="B72" t="str">
        <v>Ramu</v>
      </c>
      <c r="C72" t="str">
        <v>South</v>
      </c>
      <c r="D72" t="str">
        <v>Scanner</v>
      </c>
      <c r="E72">
        <v>2</v>
      </c>
      <c r="F72">
        <v>54310</v>
      </c>
      <c r="G72">
        <v>45676</v>
      </c>
    </row>
    <row r="73" spans="2:7" x14ac:dyDescent="0.25">
      <c r="B73" t="str">
        <v>Jagadeesh</v>
      </c>
      <c r="C73" t="str">
        <v>West</v>
      </c>
      <c r="D73" t="str">
        <v>Scanner</v>
      </c>
      <c r="E73">
        <v>4</v>
      </c>
      <c r="F73">
        <v>77680</v>
      </c>
      <c r="G73">
        <v>45721</v>
      </c>
    </row>
    <row r="74" spans="2:7" x14ac:dyDescent="0.25">
      <c r="B74" t="str">
        <v>Eashwar</v>
      </c>
      <c r="C74" t="str">
        <v>West</v>
      </c>
      <c r="D74" t="str">
        <v>Projector</v>
      </c>
      <c r="E74">
        <v>5</v>
      </c>
      <c r="F74">
        <v>83450</v>
      </c>
      <c r="G74">
        <v>45712</v>
      </c>
    </row>
    <row r="75" spans="2:7" x14ac:dyDescent="0.25">
      <c r="B75" t="str">
        <v>Jagadeesh</v>
      </c>
      <c r="C75" t="str">
        <v>West</v>
      </c>
      <c r="D75" t="str">
        <v>Projector</v>
      </c>
      <c r="E75">
        <v>2</v>
      </c>
      <c r="F75">
        <v>97620</v>
      </c>
      <c r="G75">
        <v>45735</v>
      </c>
    </row>
    <row r="76" spans="2:7" x14ac:dyDescent="0.25">
      <c r="B76" t="str">
        <v>Jagadeesh</v>
      </c>
      <c r="C76" t="str">
        <v>East</v>
      </c>
      <c r="D76" t="str">
        <v>Webcam</v>
      </c>
      <c r="E76">
        <v>4</v>
      </c>
      <c r="F76">
        <v>59270</v>
      </c>
      <c r="G76">
        <v>45701</v>
      </c>
    </row>
    <row r="77" spans="2:7" x14ac:dyDescent="0.25">
      <c r="B77" t="str">
        <v>Ramu</v>
      </c>
      <c r="C77" t="str">
        <v>West</v>
      </c>
      <c r="D77" t="str">
        <v>Webcam</v>
      </c>
      <c r="E77">
        <v>2</v>
      </c>
      <c r="F77">
        <v>53860</v>
      </c>
      <c r="G77">
        <v>45742</v>
      </c>
    </row>
    <row r="78" spans="2:7" x14ac:dyDescent="0.25">
      <c r="B78" t="str">
        <v>Eashwar</v>
      </c>
      <c r="C78" t="str">
        <v>South</v>
      </c>
      <c r="D78" t="str">
        <v>Projector</v>
      </c>
      <c r="E78">
        <v>6</v>
      </c>
      <c r="F78">
        <v>85350</v>
      </c>
      <c r="G78">
        <v>45720</v>
      </c>
    </row>
    <row r="79" spans="2:7" x14ac:dyDescent="0.25">
      <c r="B79" t="str">
        <v>Sundeep</v>
      </c>
      <c r="C79" t="str">
        <v>South</v>
      </c>
      <c r="D79" t="str">
        <v>Printer</v>
      </c>
      <c r="E79">
        <v>4</v>
      </c>
      <c r="F79">
        <v>75440</v>
      </c>
      <c r="G79">
        <v>45727</v>
      </c>
    </row>
    <row r="80" spans="2:7" x14ac:dyDescent="0.25">
      <c r="B80" t="str">
        <v>Eashwar</v>
      </c>
      <c r="C80" t="str">
        <v>South</v>
      </c>
      <c r="D80" t="str">
        <v>Laptop</v>
      </c>
      <c r="E80">
        <v>5</v>
      </c>
      <c r="F80">
        <v>99890</v>
      </c>
      <c r="G80">
        <v>45742</v>
      </c>
    </row>
    <row r="81" spans="2:7" x14ac:dyDescent="0.25">
      <c r="B81" t="str">
        <v>Koushik</v>
      </c>
      <c r="C81" t="str">
        <v>South</v>
      </c>
      <c r="D81" t="str">
        <v>Projector</v>
      </c>
      <c r="E81">
        <v>6</v>
      </c>
      <c r="F81">
        <v>75320</v>
      </c>
      <c r="G81">
        <v>45732</v>
      </c>
    </row>
    <row r="82" spans="2:7" x14ac:dyDescent="0.25">
      <c r="B82" t="str">
        <v>Sundeep</v>
      </c>
      <c r="C82" t="str">
        <v>East</v>
      </c>
      <c r="D82" t="str">
        <v>Projector</v>
      </c>
      <c r="E82">
        <v>6</v>
      </c>
      <c r="F82">
        <v>85690</v>
      </c>
      <c r="G82">
        <v>45661</v>
      </c>
    </row>
    <row r="83" spans="2:7" x14ac:dyDescent="0.25">
      <c r="B83" t="str">
        <v>Koushik</v>
      </c>
      <c r="C83" t="str">
        <v>North</v>
      </c>
      <c r="D83" t="str">
        <v>Projector</v>
      </c>
      <c r="E83">
        <v>5</v>
      </c>
      <c r="F83">
        <v>94010</v>
      </c>
      <c r="G83">
        <v>45718</v>
      </c>
    </row>
    <row r="84" spans="2:7" x14ac:dyDescent="0.25">
      <c r="B84" t="str">
        <v>Koushik</v>
      </c>
      <c r="C84" t="str">
        <v>North</v>
      </c>
      <c r="D84" t="str">
        <v>Printer</v>
      </c>
      <c r="E84">
        <v>6</v>
      </c>
      <c r="F84">
        <v>98610</v>
      </c>
      <c r="G84">
        <v>45726</v>
      </c>
    </row>
    <row r="85" spans="2:7" x14ac:dyDescent="0.25">
      <c r="B85" t="str">
        <v>Koushik</v>
      </c>
      <c r="C85" t="str">
        <v>South</v>
      </c>
      <c r="D85" t="str">
        <v>Scanner</v>
      </c>
      <c r="E85">
        <v>5</v>
      </c>
      <c r="F85">
        <v>79210</v>
      </c>
      <c r="G85">
        <v>45666</v>
      </c>
    </row>
    <row r="86" spans="2:7" x14ac:dyDescent="0.25">
      <c r="B86" t="str">
        <v>Ramu</v>
      </c>
      <c r="C86" t="str">
        <v>West</v>
      </c>
      <c r="D86" t="str">
        <v>Laptop</v>
      </c>
      <c r="E86">
        <v>3</v>
      </c>
      <c r="F86">
        <v>50400</v>
      </c>
      <c r="G86">
        <v>45739</v>
      </c>
    </row>
    <row r="87" spans="2:7" x14ac:dyDescent="0.25">
      <c r="B87" t="str">
        <v>Ramu</v>
      </c>
      <c r="C87" t="str">
        <v>East</v>
      </c>
      <c r="D87" t="str">
        <v>Scanner</v>
      </c>
      <c r="E87">
        <v>4</v>
      </c>
      <c r="F87">
        <v>94290</v>
      </c>
      <c r="G87">
        <v>45706</v>
      </c>
    </row>
    <row r="88" spans="2:7" x14ac:dyDescent="0.25">
      <c r="B88" t="str">
        <v>Ramu</v>
      </c>
      <c r="C88" t="str">
        <v>South</v>
      </c>
      <c r="D88" t="str">
        <v>Printer</v>
      </c>
      <c r="E88">
        <v>5</v>
      </c>
      <c r="F88">
        <v>85000</v>
      </c>
      <c r="G88">
        <v>45713</v>
      </c>
    </row>
    <row r="89" spans="2:7" x14ac:dyDescent="0.25">
      <c r="B89" t="str">
        <v>Jagadeesh</v>
      </c>
      <c r="C89" t="str">
        <v>North</v>
      </c>
      <c r="D89" t="str">
        <v>Webcam</v>
      </c>
      <c r="E89">
        <v>1</v>
      </c>
      <c r="F89">
        <v>71470</v>
      </c>
      <c r="G89">
        <v>45737</v>
      </c>
    </row>
    <row r="90" spans="2:7" x14ac:dyDescent="0.25">
      <c r="B90" t="str">
        <v>Sundeep</v>
      </c>
      <c r="C90" t="str">
        <v>West</v>
      </c>
      <c r="D90" t="str">
        <v>Laptop</v>
      </c>
      <c r="E90">
        <v>4</v>
      </c>
      <c r="F90">
        <v>70150</v>
      </c>
      <c r="G90">
        <v>45661</v>
      </c>
    </row>
    <row r="91" spans="2:7" x14ac:dyDescent="0.25">
      <c r="B91" t="str">
        <v>Eashwar</v>
      </c>
      <c r="C91" t="str">
        <v>North</v>
      </c>
      <c r="D91" t="str">
        <v>Scanner</v>
      </c>
      <c r="E91">
        <v>4</v>
      </c>
      <c r="F91">
        <v>71280</v>
      </c>
      <c r="G91">
        <v>45719</v>
      </c>
    </row>
    <row r="92" spans="2:7" x14ac:dyDescent="0.25">
      <c r="B92" t="str">
        <v>Koushik</v>
      </c>
      <c r="C92" t="str">
        <v>North</v>
      </c>
      <c r="D92" t="str">
        <v>Laptop</v>
      </c>
      <c r="E92">
        <v>5</v>
      </c>
      <c r="F92">
        <v>52780</v>
      </c>
      <c r="G92">
        <v>45660</v>
      </c>
    </row>
    <row r="93" spans="2:7" x14ac:dyDescent="0.25">
      <c r="B93" t="str">
        <v>Ramu</v>
      </c>
      <c r="C93" t="str">
        <v>East</v>
      </c>
      <c r="D93" t="str">
        <v>Printer</v>
      </c>
      <c r="E93">
        <v>4</v>
      </c>
      <c r="F93">
        <v>65340</v>
      </c>
      <c r="G93">
        <v>45745</v>
      </c>
    </row>
    <row r="94" spans="2:7" x14ac:dyDescent="0.25">
      <c r="B94" t="str">
        <v>Jagadeesh</v>
      </c>
      <c r="C94" t="str">
        <v>North</v>
      </c>
      <c r="D94" t="str">
        <v>Webcam</v>
      </c>
      <c r="E94">
        <v>1</v>
      </c>
      <c r="F94">
        <v>93600</v>
      </c>
      <c r="G94">
        <v>45703</v>
      </c>
    </row>
    <row r="95" spans="2:7" x14ac:dyDescent="0.25">
      <c r="B95" t="str">
        <v>Sundeep</v>
      </c>
      <c r="C95" t="str">
        <v>West</v>
      </c>
      <c r="D95" t="str">
        <v>Projector</v>
      </c>
      <c r="E95">
        <v>4</v>
      </c>
      <c r="F95">
        <v>88530</v>
      </c>
      <c r="G95">
        <v>45689</v>
      </c>
    </row>
    <row r="96" spans="2:7" x14ac:dyDescent="0.25">
      <c r="B96" t="str">
        <v>Eashwar</v>
      </c>
      <c r="C96" t="str">
        <v>West</v>
      </c>
      <c r="D96" t="str">
        <v>Scanner</v>
      </c>
      <c r="E96">
        <v>4</v>
      </c>
      <c r="F96">
        <v>63040</v>
      </c>
      <c r="G96">
        <v>45682</v>
      </c>
    </row>
    <row r="97" spans="2:7" x14ac:dyDescent="0.25">
      <c r="B97" t="str">
        <v>Ramu</v>
      </c>
      <c r="C97" t="str">
        <v>West</v>
      </c>
      <c r="D97" t="str">
        <v>Projector</v>
      </c>
      <c r="E97">
        <v>2</v>
      </c>
      <c r="F97">
        <v>97820</v>
      </c>
      <c r="G97">
        <v>45685</v>
      </c>
    </row>
    <row r="98" spans="2:7" x14ac:dyDescent="0.25">
      <c r="B98" t="str">
        <v>Jagadeesh</v>
      </c>
      <c r="C98" t="str">
        <v>West</v>
      </c>
      <c r="D98" t="str">
        <v>Webcam</v>
      </c>
      <c r="E98">
        <v>3</v>
      </c>
      <c r="F98">
        <v>59980</v>
      </c>
      <c r="G98">
        <v>45701</v>
      </c>
    </row>
    <row r="99" spans="2:7" x14ac:dyDescent="0.25">
      <c r="B99" t="str">
        <v>Sundeep</v>
      </c>
      <c r="C99" t="str">
        <v>East</v>
      </c>
      <c r="D99" t="str">
        <v>Webcam</v>
      </c>
      <c r="E99">
        <v>2</v>
      </c>
      <c r="F99">
        <v>67720</v>
      </c>
      <c r="G99">
        <v>45715</v>
      </c>
    </row>
    <row r="100" spans="2:7" x14ac:dyDescent="0.25">
      <c r="B100" t="str">
        <v>Koushik</v>
      </c>
      <c r="C100" t="str">
        <v>North</v>
      </c>
      <c r="D100" t="str">
        <v>Laptop</v>
      </c>
      <c r="E100">
        <v>5</v>
      </c>
      <c r="F100">
        <v>87320</v>
      </c>
      <c r="G100">
        <v>45730</v>
      </c>
    </row>
    <row r="101" spans="2:7" x14ac:dyDescent="0.25">
      <c r="B101" t="str">
        <v>Eashwar</v>
      </c>
      <c r="C101" t="str">
        <v>North</v>
      </c>
      <c r="D101" t="str">
        <v>Webcam</v>
      </c>
      <c r="E101">
        <v>5</v>
      </c>
      <c r="F101">
        <v>52740</v>
      </c>
      <c r="G101">
        <v>45700</v>
      </c>
    </row>
    <row r="102" spans="2:7" x14ac:dyDescent="0.25">
      <c r="B102" t="str">
        <v>Jagadeesh</v>
      </c>
      <c r="C102" t="str">
        <v>South</v>
      </c>
      <c r="D102" t="str">
        <v>Scanner</v>
      </c>
      <c r="E102">
        <v>5</v>
      </c>
      <c r="F102">
        <v>65170</v>
      </c>
      <c r="G102">
        <v>45687</v>
      </c>
    </row>
    <row r="103" spans="2:7" x14ac:dyDescent="0.25">
      <c r="B103" t="str">
        <v>Eashwar</v>
      </c>
      <c r="C103" t="str">
        <v>West</v>
      </c>
      <c r="D103" t="str">
        <v>Laptop</v>
      </c>
      <c r="E103">
        <v>4</v>
      </c>
      <c r="F103">
        <v>72340</v>
      </c>
      <c r="G103">
        <v>45732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FE98-0BC5-4C32-8BBD-56E264E3ABBF}">
  <dimension ref="A1:C19"/>
  <sheetViews>
    <sheetView zoomScaleNormal="100" workbookViewId="0">
      <selection activeCell="E16" sqref="E16"/>
    </sheetView>
  </sheetViews>
  <sheetFormatPr defaultRowHeight="15" x14ac:dyDescent="0.25"/>
  <cols>
    <col min="2" max="3" width="10.28515625" bestFit="1" customWidth="1"/>
  </cols>
  <sheetData>
    <row r="1" spans="1:3" x14ac:dyDescent="0.25">
      <c r="A1" s="1" t="s">
        <v>108</v>
      </c>
      <c r="B1" s="1" t="s">
        <v>179</v>
      </c>
      <c r="C1" s="1" t="s">
        <v>180</v>
      </c>
    </row>
    <row r="2" spans="1:3" x14ac:dyDescent="0.25">
      <c r="A2" t="s">
        <v>109</v>
      </c>
      <c r="B2">
        <v>180000</v>
      </c>
      <c r="C2" t="e">
        <f>NA()</f>
        <v>#N/A</v>
      </c>
    </row>
    <row r="3" spans="1:3" x14ac:dyDescent="0.25">
      <c r="A3" t="s">
        <v>110</v>
      </c>
      <c r="B3">
        <v>206111</v>
      </c>
      <c r="C3" t="e">
        <f>NA()</f>
        <v>#N/A</v>
      </c>
    </row>
    <row r="4" spans="1:3" x14ac:dyDescent="0.25">
      <c r="A4" t="s">
        <v>111</v>
      </c>
      <c r="B4">
        <v>217360</v>
      </c>
      <c r="C4" t="e">
        <f>NA()</f>
        <v>#N/A</v>
      </c>
    </row>
    <row r="5" spans="1:3" x14ac:dyDescent="0.25">
      <c r="A5" t="s">
        <v>112</v>
      </c>
      <c r="B5">
        <v>255727</v>
      </c>
      <c r="C5" t="e">
        <f>NA()</f>
        <v>#N/A</v>
      </c>
    </row>
    <row r="6" spans="1:3" x14ac:dyDescent="0.25">
      <c r="A6" t="s">
        <v>113</v>
      </c>
      <c r="B6">
        <v>274722</v>
      </c>
      <c r="C6" t="e">
        <f>NA()</f>
        <v>#N/A</v>
      </c>
    </row>
    <row r="7" spans="1:3" x14ac:dyDescent="0.25">
      <c r="A7" t="s">
        <v>114</v>
      </c>
      <c r="B7">
        <v>283843</v>
      </c>
      <c r="C7" t="e">
        <f>NA()</f>
        <v>#N/A</v>
      </c>
    </row>
    <row r="8" spans="1:3" x14ac:dyDescent="0.25">
      <c r="A8" t="s">
        <v>115</v>
      </c>
      <c r="B8">
        <v>342521</v>
      </c>
      <c r="C8" t="e">
        <f>NA()</f>
        <v>#N/A</v>
      </c>
    </row>
    <row r="9" spans="1:3" x14ac:dyDescent="0.25">
      <c r="A9" t="s">
        <v>116</v>
      </c>
      <c r="B9">
        <v>374040</v>
      </c>
      <c r="C9" t="e">
        <f>NA()</f>
        <v>#N/A</v>
      </c>
    </row>
    <row r="10" spans="1:3" x14ac:dyDescent="0.25">
      <c r="A10" t="s">
        <v>117</v>
      </c>
      <c r="B10">
        <v>368605</v>
      </c>
      <c r="C10" t="e">
        <f>NA()</f>
        <v>#N/A</v>
      </c>
    </row>
    <row r="11" spans="1:3" x14ac:dyDescent="0.25">
      <c r="A11" t="s">
        <v>118</v>
      </c>
      <c r="B11">
        <v>386290</v>
      </c>
      <c r="C11" t="e">
        <f>NA()</f>
        <v>#N/A</v>
      </c>
    </row>
    <row r="12" spans="1:3" x14ac:dyDescent="0.25">
      <c r="A12" t="s">
        <v>119</v>
      </c>
      <c r="B12">
        <v>381075</v>
      </c>
      <c r="C12" t="e">
        <f>NA()</f>
        <v>#N/A</v>
      </c>
    </row>
    <row r="13" spans="1:3" x14ac:dyDescent="0.25">
      <c r="A13" t="s">
        <v>120</v>
      </c>
      <c r="B13">
        <v>405767</v>
      </c>
      <c r="C13">
        <f>B13</f>
        <v>405767</v>
      </c>
    </row>
    <row r="14" spans="1:3" x14ac:dyDescent="0.25">
      <c r="A14" t="s">
        <v>109</v>
      </c>
      <c r="B14" t="e">
        <f>NA()</f>
        <v>#N/A</v>
      </c>
      <c r="C14">
        <v>435300</v>
      </c>
    </row>
    <row r="15" spans="1:3" x14ac:dyDescent="0.25">
      <c r="A15" t="s">
        <v>110</v>
      </c>
      <c r="B15" t="e">
        <f>NA()</f>
        <v>#N/A</v>
      </c>
      <c r="C15">
        <v>427385</v>
      </c>
    </row>
    <row r="16" spans="1:3" x14ac:dyDescent="0.25">
      <c r="A16" t="s">
        <v>111</v>
      </c>
      <c r="B16" t="e">
        <f>NA()</f>
        <v>#N/A</v>
      </c>
      <c r="C16">
        <v>408007</v>
      </c>
    </row>
    <row r="17" spans="1:3" x14ac:dyDescent="0.25">
      <c r="A17" t="s">
        <v>112</v>
      </c>
      <c r="B17" t="e">
        <f>NA()</f>
        <v>#N/A</v>
      </c>
      <c r="C17">
        <v>466980</v>
      </c>
    </row>
    <row r="18" spans="1:3" x14ac:dyDescent="0.25">
      <c r="A18" t="s">
        <v>113</v>
      </c>
      <c r="B18" t="e">
        <f>NA()</f>
        <v>#N/A</v>
      </c>
      <c r="C18">
        <v>481677</v>
      </c>
    </row>
    <row r="19" spans="1:3" x14ac:dyDescent="0.25">
      <c r="A19" t="s">
        <v>114</v>
      </c>
      <c r="B19" t="e">
        <f>NA()</f>
        <v>#N/A</v>
      </c>
      <c r="C19">
        <v>469420</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1336-6D0D-44BE-9966-6A3692566EA6}">
  <dimension ref="A1:L13"/>
  <sheetViews>
    <sheetView zoomScale="115" zoomScaleNormal="115" workbookViewId="0">
      <selection sqref="A1:D13"/>
    </sheetView>
  </sheetViews>
  <sheetFormatPr defaultRowHeight="15" x14ac:dyDescent="0.25"/>
  <cols>
    <col min="2" max="4" width="10" bestFit="1" customWidth="1"/>
  </cols>
  <sheetData>
    <row r="1" spans="1:12" x14ac:dyDescent="0.25">
      <c r="A1" s="1" t="s">
        <v>108</v>
      </c>
      <c r="B1" s="1" t="s">
        <v>181</v>
      </c>
      <c r="C1" s="1" t="s">
        <v>182</v>
      </c>
      <c r="D1" s="1" t="s">
        <v>183</v>
      </c>
      <c r="I1" s="1" t="s">
        <v>108</v>
      </c>
      <c r="J1" s="1" t="str">
        <f>IF($G$6,B1,NA())</f>
        <v>Year 2023</v>
      </c>
      <c r="K1" s="1" t="str">
        <f>IF($G$7,C1,NA())</f>
        <v>Year 2024</v>
      </c>
      <c r="L1" s="1" t="str">
        <f>IF($G$8,D1,NA())</f>
        <v>Year 2025</v>
      </c>
    </row>
    <row r="2" spans="1:12" x14ac:dyDescent="0.25">
      <c r="A2" s="18" t="s">
        <v>109</v>
      </c>
      <c r="B2">
        <v>712570</v>
      </c>
      <c r="C2">
        <v>839750</v>
      </c>
      <c r="D2">
        <v>641240</v>
      </c>
      <c r="I2" s="18" t="s">
        <v>109</v>
      </c>
      <c r="J2">
        <f t="shared" ref="J2:J13" si="0">IF($G$6,B2,NA())</f>
        <v>712570</v>
      </c>
      <c r="K2">
        <f t="shared" ref="K2:K13" si="1">IF($G$7,C2,NA())</f>
        <v>839750</v>
      </c>
      <c r="L2">
        <f t="shared" ref="L2:L13" si="2">IF($G$8,D2,NA())</f>
        <v>641240</v>
      </c>
    </row>
    <row r="3" spans="1:12" x14ac:dyDescent="0.25">
      <c r="A3" s="18" t="s">
        <v>110</v>
      </c>
      <c r="B3">
        <v>448440</v>
      </c>
      <c r="C3">
        <v>863520</v>
      </c>
      <c r="D3">
        <v>555070</v>
      </c>
      <c r="I3" s="18" t="s">
        <v>110</v>
      </c>
      <c r="J3">
        <f t="shared" si="0"/>
        <v>448440</v>
      </c>
      <c r="K3">
        <f t="shared" si="1"/>
        <v>863520</v>
      </c>
      <c r="L3">
        <f t="shared" si="2"/>
        <v>555070</v>
      </c>
    </row>
    <row r="4" spans="1:12" x14ac:dyDescent="0.25">
      <c r="A4" s="18" t="s">
        <v>111</v>
      </c>
      <c r="B4">
        <v>624920</v>
      </c>
      <c r="C4">
        <v>829700</v>
      </c>
      <c r="D4">
        <v>714550</v>
      </c>
      <c r="I4" s="18" t="s">
        <v>111</v>
      </c>
      <c r="J4">
        <f t="shared" si="0"/>
        <v>624920</v>
      </c>
      <c r="K4">
        <f t="shared" si="1"/>
        <v>829700</v>
      </c>
      <c r="L4">
        <f t="shared" si="2"/>
        <v>714550</v>
      </c>
    </row>
    <row r="5" spans="1:12" x14ac:dyDescent="0.25">
      <c r="A5" s="18" t="s">
        <v>112</v>
      </c>
      <c r="B5">
        <v>832300</v>
      </c>
      <c r="C5">
        <v>400370</v>
      </c>
      <c r="D5">
        <v>684550</v>
      </c>
      <c r="I5" s="18" t="s">
        <v>112</v>
      </c>
      <c r="J5">
        <f t="shared" si="0"/>
        <v>832300</v>
      </c>
      <c r="K5">
        <f t="shared" si="1"/>
        <v>400370</v>
      </c>
      <c r="L5">
        <f t="shared" si="2"/>
        <v>684550</v>
      </c>
    </row>
    <row r="6" spans="1:12" x14ac:dyDescent="0.25">
      <c r="A6" s="18" t="s">
        <v>113</v>
      </c>
      <c r="B6">
        <v>688760</v>
      </c>
      <c r="C6">
        <v>640840</v>
      </c>
      <c r="D6">
        <v>732220</v>
      </c>
      <c r="G6" t="b">
        <v>1</v>
      </c>
      <c r="I6" s="18" t="s">
        <v>113</v>
      </c>
      <c r="J6">
        <f t="shared" si="0"/>
        <v>688760</v>
      </c>
      <c r="K6">
        <f t="shared" si="1"/>
        <v>640840</v>
      </c>
      <c r="L6">
        <f t="shared" si="2"/>
        <v>732220</v>
      </c>
    </row>
    <row r="7" spans="1:12" x14ac:dyDescent="0.25">
      <c r="A7" s="18" t="s">
        <v>114</v>
      </c>
      <c r="B7">
        <v>385990</v>
      </c>
      <c r="C7">
        <v>243720</v>
      </c>
      <c r="D7">
        <v>723550</v>
      </c>
      <c r="G7" t="b">
        <v>1</v>
      </c>
      <c r="I7" s="18" t="s">
        <v>114</v>
      </c>
      <c r="J7">
        <f t="shared" si="0"/>
        <v>385990</v>
      </c>
      <c r="K7">
        <f t="shared" si="1"/>
        <v>243720</v>
      </c>
      <c r="L7">
        <f t="shared" si="2"/>
        <v>723550</v>
      </c>
    </row>
    <row r="8" spans="1:12" x14ac:dyDescent="0.25">
      <c r="A8" s="18" t="s">
        <v>115</v>
      </c>
      <c r="B8">
        <v>542040</v>
      </c>
      <c r="C8">
        <v>582440</v>
      </c>
      <c r="D8">
        <v>490540</v>
      </c>
      <c r="G8" t="b">
        <v>1</v>
      </c>
      <c r="I8" s="18" t="s">
        <v>115</v>
      </c>
      <c r="J8">
        <f t="shared" si="0"/>
        <v>542040</v>
      </c>
      <c r="K8">
        <f t="shared" si="1"/>
        <v>582440</v>
      </c>
      <c r="L8">
        <f t="shared" si="2"/>
        <v>490540</v>
      </c>
    </row>
    <row r="9" spans="1:12" x14ac:dyDescent="0.25">
      <c r="A9" s="18" t="s">
        <v>116</v>
      </c>
      <c r="B9">
        <v>757510</v>
      </c>
      <c r="C9">
        <v>559580</v>
      </c>
      <c r="D9">
        <v>300100</v>
      </c>
      <c r="I9" s="18" t="s">
        <v>116</v>
      </c>
      <c r="J9">
        <f t="shared" si="0"/>
        <v>757510</v>
      </c>
      <c r="K9">
        <f t="shared" si="1"/>
        <v>559580</v>
      </c>
      <c r="L9">
        <f t="shared" si="2"/>
        <v>300100</v>
      </c>
    </row>
    <row r="10" spans="1:12" x14ac:dyDescent="0.25">
      <c r="A10" s="18" t="s">
        <v>117</v>
      </c>
      <c r="B10">
        <v>784240</v>
      </c>
      <c r="C10">
        <v>675190</v>
      </c>
      <c r="D10">
        <v>202310</v>
      </c>
      <c r="I10" s="18" t="s">
        <v>117</v>
      </c>
      <c r="J10">
        <f t="shared" si="0"/>
        <v>784240</v>
      </c>
      <c r="K10">
        <f t="shared" si="1"/>
        <v>675190</v>
      </c>
      <c r="L10">
        <f t="shared" si="2"/>
        <v>202310</v>
      </c>
    </row>
    <row r="11" spans="1:12" x14ac:dyDescent="0.25">
      <c r="A11" s="18" t="s">
        <v>118</v>
      </c>
      <c r="B11">
        <v>773390</v>
      </c>
      <c r="C11">
        <v>717230</v>
      </c>
      <c r="D11">
        <v>321420</v>
      </c>
      <c r="I11" s="18" t="s">
        <v>118</v>
      </c>
      <c r="J11">
        <f t="shared" si="0"/>
        <v>773390</v>
      </c>
      <c r="K11">
        <f t="shared" si="1"/>
        <v>717230</v>
      </c>
      <c r="L11">
        <f t="shared" si="2"/>
        <v>321420</v>
      </c>
    </row>
    <row r="12" spans="1:12" x14ac:dyDescent="0.25">
      <c r="A12" s="18" t="s">
        <v>119</v>
      </c>
      <c r="B12">
        <v>386270</v>
      </c>
      <c r="C12">
        <v>754750</v>
      </c>
      <c r="D12">
        <v>491560</v>
      </c>
      <c r="I12" s="18" t="s">
        <v>119</v>
      </c>
      <c r="J12">
        <f t="shared" si="0"/>
        <v>386270</v>
      </c>
      <c r="K12">
        <f t="shared" si="1"/>
        <v>754750</v>
      </c>
      <c r="L12">
        <f t="shared" si="2"/>
        <v>491560</v>
      </c>
    </row>
    <row r="13" spans="1:12" x14ac:dyDescent="0.25">
      <c r="A13" s="18" t="s">
        <v>120</v>
      </c>
      <c r="B13">
        <v>478070</v>
      </c>
      <c r="C13">
        <v>865670</v>
      </c>
      <c r="D13">
        <v>825820</v>
      </c>
      <c r="I13" s="18" t="s">
        <v>120</v>
      </c>
      <c r="J13">
        <f t="shared" si="0"/>
        <v>478070</v>
      </c>
      <c r="K13">
        <f t="shared" si="1"/>
        <v>865670</v>
      </c>
      <c r="L13">
        <f t="shared" si="2"/>
        <v>825820</v>
      </c>
    </row>
  </sheetData>
  <phoneticPr fontId="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4577" r:id="rId3" name="Check Box 1">
              <controlPr defaultSize="0" autoFill="0" autoLine="0" autoPict="0">
                <anchor moveWithCells="1">
                  <from>
                    <xdr:col>4</xdr:col>
                    <xdr:colOff>514350</xdr:colOff>
                    <xdr:row>4</xdr:row>
                    <xdr:rowOff>161925</xdr:rowOff>
                  </from>
                  <to>
                    <xdr:col>6</xdr:col>
                    <xdr:colOff>9525</xdr:colOff>
                    <xdr:row>6</xdr:row>
                    <xdr:rowOff>19050</xdr:rowOff>
                  </to>
                </anchor>
              </controlPr>
            </control>
          </mc:Choice>
        </mc:AlternateContent>
        <mc:AlternateContent xmlns:mc="http://schemas.openxmlformats.org/markup-compatibility/2006">
          <mc:Choice Requires="x14">
            <control shapeId="24578" r:id="rId4" name="Check Box 2">
              <controlPr defaultSize="0" autoFill="0" autoLine="0" autoPict="0">
                <anchor moveWithCells="1">
                  <from>
                    <xdr:col>4</xdr:col>
                    <xdr:colOff>514350</xdr:colOff>
                    <xdr:row>6</xdr:row>
                    <xdr:rowOff>9525</xdr:rowOff>
                  </from>
                  <to>
                    <xdr:col>6</xdr:col>
                    <xdr:colOff>9525</xdr:colOff>
                    <xdr:row>7</xdr:row>
                    <xdr:rowOff>57150</xdr:rowOff>
                  </to>
                </anchor>
              </controlPr>
            </control>
          </mc:Choice>
        </mc:AlternateContent>
        <mc:AlternateContent xmlns:mc="http://schemas.openxmlformats.org/markup-compatibility/2006">
          <mc:Choice Requires="x14">
            <control shapeId="24579" r:id="rId5" name="Check Box 3">
              <controlPr defaultSize="0" autoFill="0" autoLine="0" autoPict="0">
                <anchor moveWithCells="1">
                  <from>
                    <xdr:col>4</xdr:col>
                    <xdr:colOff>514350</xdr:colOff>
                    <xdr:row>7</xdr:row>
                    <xdr:rowOff>19050</xdr:rowOff>
                  </from>
                  <to>
                    <xdr:col>6</xdr:col>
                    <xdr:colOff>9525</xdr:colOff>
                    <xdr:row>8</xdr:row>
                    <xdr:rowOff>66675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5157-3643-4622-BF3B-4D47A43CF184}">
  <dimension ref="A1:K13"/>
  <sheetViews>
    <sheetView tabSelected="1" workbookViewId="0">
      <selection activeCell="F12" sqref="F12"/>
    </sheetView>
  </sheetViews>
  <sheetFormatPr defaultRowHeight="15" x14ac:dyDescent="0.25"/>
  <cols>
    <col min="2" max="4" width="9.42578125" bestFit="1" customWidth="1"/>
    <col min="7" max="7" width="9.140625" customWidth="1"/>
    <col min="8" max="8" width="9.140625" hidden="1" customWidth="1"/>
    <col min="9" max="9" width="3.5703125" customWidth="1"/>
    <col min="10" max="10" width="9.28515625" hidden="1" customWidth="1"/>
    <col min="11" max="11" width="19.85546875" hidden="1" customWidth="1"/>
  </cols>
  <sheetData>
    <row r="1" spans="1:11" x14ac:dyDescent="0.25">
      <c r="A1" s="1" t="s">
        <v>108</v>
      </c>
      <c r="B1" s="1" t="s">
        <v>181</v>
      </c>
      <c r="C1" s="1" t="s">
        <v>182</v>
      </c>
      <c r="D1" s="1" t="s">
        <v>183</v>
      </c>
      <c r="J1" s="1" t="s">
        <v>108</v>
      </c>
      <c r="K1" s="1" t="str">
        <f>IF($H$6=1,B1,IF($H$6=2,C1,D1))</f>
        <v>Year 2025</v>
      </c>
    </row>
    <row r="2" spans="1:11" x14ac:dyDescent="0.25">
      <c r="A2" s="18" t="s">
        <v>109</v>
      </c>
      <c r="B2">
        <v>200000</v>
      </c>
      <c r="C2">
        <v>200000</v>
      </c>
      <c r="D2">
        <v>200000</v>
      </c>
      <c r="J2" s="18" t="s">
        <v>109</v>
      </c>
      <c r="K2">
        <f t="shared" ref="K2:K13" si="0">IF($H$6=1,B2,IF($H$6=2,C2,D2))</f>
        <v>200000</v>
      </c>
    </row>
    <row r="3" spans="1:11" x14ac:dyDescent="0.25">
      <c r="A3" s="18" t="s">
        <v>110</v>
      </c>
      <c r="B3">
        <v>195964</v>
      </c>
      <c r="C3">
        <v>231116</v>
      </c>
      <c r="D3">
        <v>233812</v>
      </c>
      <c r="J3" s="18" t="s">
        <v>110</v>
      </c>
      <c r="K3">
        <f t="shared" si="0"/>
        <v>233812</v>
      </c>
    </row>
    <row r="4" spans="1:11" x14ac:dyDescent="0.25">
      <c r="A4" s="18" t="s">
        <v>111</v>
      </c>
      <c r="B4">
        <v>189648</v>
      </c>
      <c r="C4">
        <v>214943</v>
      </c>
      <c r="D4">
        <v>251898</v>
      </c>
      <c r="J4" s="18" t="s">
        <v>111</v>
      </c>
      <c r="K4">
        <f t="shared" si="0"/>
        <v>251898</v>
      </c>
    </row>
    <row r="5" spans="1:11" x14ac:dyDescent="0.25">
      <c r="A5" s="18" t="s">
        <v>112</v>
      </c>
      <c r="B5">
        <v>228483</v>
      </c>
      <c r="C5">
        <v>223397</v>
      </c>
      <c r="D5">
        <v>263601</v>
      </c>
      <c r="J5" s="18" t="s">
        <v>112</v>
      </c>
      <c r="K5">
        <f t="shared" si="0"/>
        <v>263601</v>
      </c>
    </row>
    <row r="6" spans="1:11" x14ac:dyDescent="0.25">
      <c r="A6" s="18" t="s">
        <v>113</v>
      </c>
      <c r="B6">
        <v>267355</v>
      </c>
      <c r="C6">
        <v>257886</v>
      </c>
      <c r="D6">
        <v>245426</v>
      </c>
      <c r="H6">
        <v>3</v>
      </c>
      <c r="J6" s="18" t="s">
        <v>113</v>
      </c>
      <c r="K6">
        <f t="shared" si="0"/>
        <v>245426</v>
      </c>
    </row>
    <row r="7" spans="1:11" x14ac:dyDescent="0.25">
      <c r="A7" s="18" t="s">
        <v>114</v>
      </c>
      <c r="B7">
        <v>267579</v>
      </c>
      <c r="C7">
        <v>290109</v>
      </c>
      <c r="D7">
        <v>255827</v>
      </c>
      <c r="J7" s="18" t="s">
        <v>114</v>
      </c>
      <c r="K7">
        <f t="shared" si="0"/>
        <v>255827</v>
      </c>
    </row>
    <row r="8" spans="1:11" x14ac:dyDescent="0.25">
      <c r="A8" s="18" t="s">
        <v>115</v>
      </c>
      <c r="B8">
        <v>283966</v>
      </c>
      <c r="C8">
        <v>275354</v>
      </c>
      <c r="D8">
        <v>293141</v>
      </c>
      <c r="J8" s="18" t="s">
        <v>115</v>
      </c>
      <c r="K8">
        <f t="shared" si="0"/>
        <v>293141</v>
      </c>
    </row>
    <row r="9" spans="1:11" x14ac:dyDescent="0.25">
      <c r="A9" s="18" t="s">
        <v>116</v>
      </c>
      <c r="B9">
        <v>308064</v>
      </c>
      <c r="C9">
        <v>262619</v>
      </c>
      <c r="D9">
        <v>310825</v>
      </c>
      <c r="J9" s="18" t="s">
        <v>116</v>
      </c>
      <c r="K9">
        <f t="shared" si="0"/>
        <v>310825</v>
      </c>
    </row>
    <row r="10" spans="1:11" x14ac:dyDescent="0.25">
      <c r="A10" s="18" t="s">
        <v>117</v>
      </c>
      <c r="B10">
        <v>337690</v>
      </c>
      <c r="C10">
        <v>262770</v>
      </c>
      <c r="D10">
        <v>306665</v>
      </c>
      <c r="J10" s="18" t="s">
        <v>117</v>
      </c>
      <c r="K10">
        <f t="shared" si="0"/>
        <v>306665</v>
      </c>
    </row>
    <row r="11" spans="1:11" x14ac:dyDescent="0.25">
      <c r="A11" s="18" t="s">
        <v>118</v>
      </c>
      <c r="B11">
        <v>376041</v>
      </c>
      <c r="C11">
        <v>265454</v>
      </c>
      <c r="D11">
        <v>332270</v>
      </c>
      <c r="J11" s="18" t="s">
        <v>118</v>
      </c>
      <c r="K11">
        <f t="shared" si="0"/>
        <v>332270</v>
      </c>
    </row>
    <row r="12" spans="1:11" x14ac:dyDescent="0.25">
      <c r="A12" s="18" t="s">
        <v>119</v>
      </c>
      <c r="B12">
        <v>361095</v>
      </c>
      <c r="C12">
        <v>270680</v>
      </c>
      <c r="D12">
        <v>342137</v>
      </c>
      <c r="J12" s="18" t="s">
        <v>119</v>
      </c>
      <c r="K12">
        <f t="shared" si="0"/>
        <v>342137</v>
      </c>
    </row>
    <row r="13" spans="1:11" x14ac:dyDescent="0.25">
      <c r="A13" s="18" t="s">
        <v>120</v>
      </c>
      <c r="B13">
        <v>348190</v>
      </c>
      <c r="C13">
        <v>288921</v>
      </c>
      <c r="D13">
        <v>347571</v>
      </c>
      <c r="J13" s="18" t="s">
        <v>120</v>
      </c>
      <c r="K13">
        <f t="shared" si="0"/>
        <v>347571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5601" r:id="rId3" name="Option Button 1">
              <controlPr defaultSize="0" autoFill="0" autoLine="0" autoPict="0">
                <anchor moveWithCells="1">
                  <from>
                    <xdr:col>4</xdr:col>
                    <xdr:colOff>600075</xdr:colOff>
                    <xdr:row>3</xdr:row>
                    <xdr:rowOff>76200</xdr:rowOff>
                  </from>
                  <to>
                    <xdr:col>6</xdr:col>
                    <xdr:colOff>323850</xdr:colOff>
                    <xdr:row>5</xdr:row>
                    <xdr:rowOff>19050</xdr:rowOff>
                  </to>
                </anchor>
              </controlPr>
            </control>
          </mc:Choice>
        </mc:AlternateContent>
        <mc:AlternateContent xmlns:mc="http://schemas.openxmlformats.org/markup-compatibility/2006">
          <mc:Choice Requires="x14">
            <control shapeId="25602" r:id="rId4" name="Option Button 2">
              <controlPr defaultSize="0" autoFill="0" autoLine="0" autoPict="0">
                <anchor moveWithCells="1">
                  <from>
                    <xdr:col>4</xdr:col>
                    <xdr:colOff>590550</xdr:colOff>
                    <xdr:row>4</xdr:row>
                    <xdr:rowOff>142875</xdr:rowOff>
                  </from>
                  <to>
                    <xdr:col>6</xdr:col>
                    <xdr:colOff>314325</xdr:colOff>
                    <xdr:row>6</xdr:row>
                    <xdr:rowOff>85725</xdr:rowOff>
                  </to>
                </anchor>
              </controlPr>
            </control>
          </mc:Choice>
        </mc:AlternateContent>
        <mc:AlternateContent xmlns:mc="http://schemas.openxmlformats.org/markup-compatibility/2006">
          <mc:Choice Requires="x14">
            <control shapeId="25603" r:id="rId5" name="Option Button 3">
              <controlPr defaultSize="0" autoFill="0" autoLine="0" autoPict="0">
                <anchor moveWithCells="1">
                  <from>
                    <xdr:col>4</xdr:col>
                    <xdr:colOff>590550</xdr:colOff>
                    <xdr:row>6</xdr:row>
                    <xdr:rowOff>19050</xdr:rowOff>
                  </from>
                  <to>
                    <xdr:col>6</xdr:col>
                    <xdr:colOff>314325</xdr:colOff>
                    <xdr:row>7</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Sheet17</vt:lpstr>
      <vt:lpstr>Sheet14</vt:lpstr>
      <vt:lpstr>Sheet15</vt:lpstr>
      <vt:lpstr>Sheet16</vt:lpstr>
      <vt:lpstr>Sheet18</vt:lpstr>
      <vt:lpstr>Sheet19</vt:lpstr>
      <vt:lpstr>Sheet20</vt:lpstr>
      <vt:lpstr>Sheet21</vt:lpstr>
      <vt:lpstr>Age</vt:lpstr>
      <vt:lpstr>City</vt:lpstr>
      <vt:lpstr>Dept</vt:lpstr>
      <vt:lpstr>EmpData</vt:lpstr>
      <vt:lpstr>EmpID</vt:lpstr>
      <vt:lpstr>Salary</vt:lpstr>
      <vt:lpstr>SearchID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Babu Singam</dc:creator>
  <cp:lastModifiedBy>Ravi Babu Singam</cp:lastModifiedBy>
  <dcterms:created xsi:type="dcterms:W3CDTF">2026-02-24T05:54:01Z</dcterms:created>
  <dcterms:modified xsi:type="dcterms:W3CDTF">2026-03-02T07:37:55Z</dcterms:modified>
</cp:coreProperties>
</file>