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Interviews\batch23\"/>
    </mc:Choice>
  </mc:AlternateContent>
  <xr:revisionPtr revIDLastSave="0" documentId="8_{626E4B56-9F17-4936-87ED-3B6AA381F97D}" xr6:coauthVersionLast="47" xr6:coauthVersionMax="47" xr10:uidLastSave="{00000000-0000-0000-0000-000000000000}"/>
  <bookViews>
    <workbookView xWindow="-120" yWindow="-120" windowWidth="19440" windowHeight="10320" activeTab="3" xr2:uid="{AE266A49-E809-4277-A811-C747DF6404C8}"/>
  </bookViews>
  <sheets>
    <sheet name="Sheet1" sheetId="1" r:id="rId1"/>
    <sheet name="Sheet2" sheetId="2" r:id="rId2"/>
    <sheet name="Sheet3" sheetId="3" r:id="rId3"/>
    <sheet name="Sheet4" sheetId="4" r:id="rId4"/>
  </sheets>
  <definedNames>
    <definedName name="EmpData">Sheet4!$A$1:$E$51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3" l="1"/>
  <c r="P4" i="3"/>
  <c r="J10" i="3"/>
  <c r="J8" i="3"/>
  <c r="J6" i="3"/>
  <c r="J4" i="3"/>
  <c r="D7" i="3"/>
  <c r="D5" i="3"/>
  <c r="D3" i="3"/>
  <c r="P10" i="2"/>
  <c r="P8" i="2"/>
  <c r="P6" i="2"/>
  <c r="D8" i="1"/>
  <c r="C8" i="1"/>
  <c r="G3" i="1"/>
  <c r="G4" i="1"/>
  <c r="G5" i="1"/>
  <c r="G6" i="1"/>
  <c r="G7" i="1"/>
  <c r="G8" i="1"/>
  <c r="G9" i="1"/>
  <c r="G10" i="1"/>
  <c r="G11" i="1"/>
  <c r="G12" i="1"/>
  <c r="G13" i="1"/>
  <c r="G2" i="1"/>
  <c r="E3" i="1"/>
  <c r="E4" i="1"/>
  <c r="E5" i="1"/>
  <c r="E6" i="1"/>
  <c r="E7" i="1"/>
  <c r="E9" i="1"/>
  <c r="E10" i="1"/>
  <c r="E11" i="1"/>
  <c r="E12" i="1"/>
  <c r="E13" i="1"/>
  <c r="E2" i="1"/>
  <c r="D2" i="1"/>
  <c r="D3" i="1"/>
  <c r="D4" i="1"/>
  <c r="D5" i="1"/>
  <c r="D6" i="1"/>
  <c r="D7" i="1"/>
  <c r="D9" i="1"/>
  <c r="D10" i="1"/>
  <c r="D11" i="1"/>
  <c r="D12" i="1"/>
  <c r="D13" i="1"/>
  <c r="C3" i="1"/>
  <c r="C4" i="1"/>
  <c r="C5" i="1"/>
  <c r="C6" i="1"/>
  <c r="C7" i="1"/>
  <c r="E8" i="1"/>
  <c r="C9" i="1"/>
  <c r="C10" i="1"/>
  <c r="C11" i="1"/>
  <c r="C12" i="1"/>
  <c r="C13" i="1"/>
  <c r="C2" i="1"/>
</calcChain>
</file>

<file path=xl/sharedStrings.xml><?xml version="1.0" encoding="utf-8"?>
<sst xmlns="http://schemas.openxmlformats.org/spreadsheetml/2006/main" count="211" uniqueCount="108">
  <si>
    <t>Name</t>
  </si>
  <si>
    <t>Raju</t>
  </si>
  <si>
    <t>Naveen</t>
  </si>
  <si>
    <t>Prasad</t>
  </si>
  <si>
    <t>Anil</t>
  </si>
  <si>
    <t>Sunder</t>
  </si>
  <si>
    <t>Bhakta</t>
  </si>
  <si>
    <t>Vinod</t>
  </si>
  <si>
    <t>Vishal</t>
  </si>
  <si>
    <t>Anand</t>
  </si>
  <si>
    <t>Jeevan</t>
  </si>
  <si>
    <t>Umesh</t>
  </si>
  <si>
    <t>Rajesh</t>
  </si>
  <si>
    <t>Code</t>
  </si>
  <si>
    <t>SCode</t>
  </si>
  <si>
    <t>E</t>
  </si>
  <si>
    <t>M</t>
  </si>
  <si>
    <t>H</t>
  </si>
  <si>
    <t>Subject</t>
  </si>
  <si>
    <t>Maths</t>
  </si>
  <si>
    <t>History</t>
  </si>
  <si>
    <t>Economics</t>
  </si>
  <si>
    <t>Pass</t>
  </si>
  <si>
    <t>Full</t>
  </si>
  <si>
    <t>Minimum</t>
  </si>
  <si>
    <t>Maximum</t>
  </si>
  <si>
    <t>S</t>
  </si>
  <si>
    <t>Interval</t>
  </si>
  <si>
    <t>0-49</t>
  </si>
  <si>
    <t>50-59</t>
  </si>
  <si>
    <t>60-69</t>
  </si>
  <si>
    <t>70-79</t>
  </si>
  <si>
    <t>80-89</t>
  </si>
  <si>
    <t>90-100</t>
  </si>
  <si>
    <t>Grade</t>
  </si>
  <si>
    <t>Fail</t>
  </si>
  <si>
    <t>D</t>
  </si>
  <si>
    <t>C</t>
  </si>
  <si>
    <t>B</t>
  </si>
  <si>
    <t>A</t>
  </si>
  <si>
    <t>Score</t>
  </si>
  <si>
    <t>EmpID</t>
  </si>
  <si>
    <t>E001</t>
  </si>
  <si>
    <t>E002</t>
  </si>
  <si>
    <t>E003</t>
  </si>
  <si>
    <t>E004</t>
  </si>
  <si>
    <t>E005</t>
  </si>
  <si>
    <t>E006</t>
  </si>
  <si>
    <t>E007</t>
  </si>
  <si>
    <t>E008</t>
  </si>
  <si>
    <t>E009</t>
  </si>
  <si>
    <t>E010</t>
  </si>
  <si>
    <t>E011</t>
  </si>
  <si>
    <t>E012</t>
  </si>
  <si>
    <t>E013</t>
  </si>
  <si>
    <t>E014</t>
  </si>
  <si>
    <t>E015</t>
  </si>
  <si>
    <t>E016</t>
  </si>
  <si>
    <t>E017</t>
  </si>
  <si>
    <t>E018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</si>
  <si>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</si>
  <si>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</si>
  <si>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</si>
  <si>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</si>
  <si>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</si>
  <si>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</si>
  <si>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</si>
  <si>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</si>
  <si>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</si>
  <si>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</si>
  <si>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</si>
  <si>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</si>
  <si>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</si>
  <si>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</si>
  <si>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</si>
  <si>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</si>
  <si>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</si>
  <si>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</si>
  <si>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</si>
  <si>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</si>
  <si>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</si>
  <si>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</si>
  <si>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E041</t>
  </si>
  <si>
    <t>E042</t>
  </si>
  <si>
    <t>E043</t>
  </si>
  <si>
    <t>E044</t>
  </si>
  <si>
    <t>E045</t>
  </si>
  <si>
    <t>E046</t>
  </si>
  <si>
    <t>E047</t>
  </si>
  <si>
    <t>E048</t>
  </si>
  <si>
    <t>E049</t>
  </si>
  <si>
    <t>E050</t>
  </si>
  <si>
    <t>City</t>
  </si>
  <si>
    <t>Dept</t>
  </si>
  <si>
    <t>Salary</t>
  </si>
  <si>
    <t>Age</t>
  </si>
  <si>
    <t>Amr</t>
  </si>
  <si>
    <t>Sales</t>
  </si>
  <si>
    <t>Che</t>
  </si>
  <si>
    <t>IT</t>
  </si>
  <si>
    <t>Admin</t>
  </si>
  <si>
    <t>Blr</t>
  </si>
  <si>
    <t>HR</t>
  </si>
  <si>
    <t>Mum</t>
  </si>
  <si>
    <t>Del</t>
  </si>
  <si>
    <t>Tri</t>
  </si>
  <si>
    <t>Legal</t>
  </si>
  <si>
    <t>Hyd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</si>
</sst>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1A3C9-0BF1-4988-8FB6-499AB77D4C7F}">
  <dimension ref="A1:O13"/>
  <sheetViews>
    <sheetView zoomScale="120" zoomScaleNormal="120" workbookViewId="0">
      <selection activeCell="D17" sqref="D17"/>
    </sheetView>
  </sheetViews>
  <sheetFormatPr defaultRowHeight="15" x14ac:dyDescent="0.25"/>
  <cols>
    <col min="3" max="3" width="10.7109375" bestFit="1" customWidth="1"/>
    <col min="5" max="5" width="9.85546875" bestFit="1" customWidth="1"/>
    <col min="13" max="13" width="10.7109375" bestFit="1" customWidth="1"/>
  </cols>
  <sheetData>
    <row r="1" spans="1:15" x14ac:dyDescent="0.25">
      <c r="A1" s="1" t="s">
        <v>0</v>
      </c>
      <c r="B1" s="1" t="s">
        <v>14</v>
      </c>
      <c r="C1" s="1" t="s">
        <v>18</v>
      </c>
      <c r="D1" s="1" t="s">
        <v>24</v>
      </c>
      <c r="E1" s="1" t="s">
        <v>25</v>
      </c>
      <c r="F1" s="1" t="s">
        <v>40</v>
      </c>
      <c r="G1" s="1" t="s">
        <v>34</v>
      </c>
      <c r="L1" s="1" t="s">
        <v>13</v>
      </c>
      <c r="M1" s="1" t="s">
        <v>18</v>
      </c>
      <c r="N1" s="1" t="s">
        <v>22</v>
      </c>
      <c r="O1" s="1" t="s">
        <v>23</v>
      </c>
    </row>
    <row r="2" spans="1:15" x14ac:dyDescent="0.25">
      <c r="A2" t="s">
        <v>1</v>
      </c>
      <c r="B2" t="s">
        <v>16</v>
      </c>
      <c r="C2" t="str">
        <f>VLOOKUP(B2,$L$1:$M$4,2,0)</f>
        <v>Maths</v>
      </c>
      <c r="D2">
        <f>VLOOKUP(B2,$L$1:$O$4,3,0)</f>
        <v>40</v>
      </c>
      <c r="E2">
        <f>VLOOKUP(C2,$M$1:$O$4,3,0)</f>
        <v>75</v>
      </c>
      <c r="F2">
        <v>28</v>
      </c>
      <c r="G2" t="str">
        <f>VLOOKUP(F2,$M$7:$N$13,2,1)</f>
        <v>Fail</v>
      </c>
      <c r="L2" t="s">
        <v>16</v>
      </c>
      <c r="M2" t="s">
        <v>19</v>
      </c>
      <c r="N2">
        <v>40</v>
      </c>
      <c r="O2">
        <v>75</v>
      </c>
    </row>
    <row r="3" spans="1:15" x14ac:dyDescent="0.25">
      <c r="A3" t="s">
        <v>2</v>
      </c>
      <c r="B3" t="s">
        <v>17</v>
      </c>
      <c r="C3" t="str">
        <f t="shared" ref="C3:C13" si="0">VLOOKUP(B3,$L$1:$M$4,2,0)</f>
        <v>History</v>
      </c>
      <c r="D3">
        <f t="shared" ref="D3:D13" si="1">VLOOKUP(B3,$L$1:$O$4,3,0)</f>
        <v>70</v>
      </c>
      <c r="E3">
        <f t="shared" ref="E3:E13" si="2">VLOOKUP(C3,$M$1:$O$4,3,0)</f>
        <v>100</v>
      </c>
      <c r="F3">
        <v>40</v>
      </c>
      <c r="G3" t="str">
        <f t="shared" ref="G3:G13" si="3">VLOOKUP(F3,$M$7:$N$13,2,1)</f>
        <v>Fail</v>
      </c>
      <c r="L3" t="s">
        <v>17</v>
      </c>
      <c r="M3" t="s">
        <v>20</v>
      </c>
      <c r="N3">
        <v>70</v>
      </c>
      <c r="O3">
        <v>100</v>
      </c>
    </row>
    <row r="4" spans="1:15" x14ac:dyDescent="0.25">
      <c r="A4" t="s">
        <v>3</v>
      </c>
      <c r="B4" t="s">
        <v>15</v>
      </c>
      <c r="C4" t="str">
        <f t="shared" si="0"/>
        <v>Economics</v>
      </c>
      <c r="D4">
        <f t="shared" si="1"/>
        <v>55</v>
      </c>
      <c r="E4">
        <f t="shared" si="2"/>
        <v>60</v>
      </c>
      <c r="F4">
        <v>77</v>
      </c>
      <c r="G4" t="str">
        <f t="shared" si="3"/>
        <v>C</v>
      </c>
      <c r="L4" t="s">
        <v>15</v>
      </c>
      <c r="M4" t="s">
        <v>21</v>
      </c>
      <c r="N4">
        <v>55</v>
      </c>
      <c r="O4">
        <v>60</v>
      </c>
    </row>
    <row r="5" spans="1:15" x14ac:dyDescent="0.25">
      <c r="A5" t="s">
        <v>4</v>
      </c>
      <c r="B5" t="s">
        <v>15</v>
      </c>
      <c r="C5" t="str">
        <f t="shared" si="0"/>
        <v>Economics</v>
      </c>
      <c r="D5">
        <f t="shared" si="1"/>
        <v>55</v>
      </c>
      <c r="E5">
        <f t="shared" si="2"/>
        <v>60</v>
      </c>
      <c r="F5">
        <v>39</v>
      </c>
      <c r="G5" t="str">
        <f t="shared" si="3"/>
        <v>Fail</v>
      </c>
    </row>
    <row r="6" spans="1:15" x14ac:dyDescent="0.25">
      <c r="A6" t="s">
        <v>5</v>
      </c>
      <c r="B6" t="s">
        <v>17</v>
      </c>
      <c r="C6" t="str">
        <f t="shared" si="0"/>
        <v>History</v>
      </c>
      <c r="D6">
        <f t="shared" si="1"/>
        <v>70</v>
      </c>
      <c r="E6">
        <f t="shared" si="2"/>
        <v>100</v>
      </c>
      <c r="F6">
        <v>87</v>
      </c>
      <c r="G6" t="str">
        <f t="shared" si="3"/>
        <v>B</v>
      </c>
    </row>
    <row r="7" spans="1:15" x14ac:dyDescent="0.25">
      <c r="A7" t="s">
        <v>6</v>
      </c>
      <c r="B7" t="s">
        <v>17</v>
      </c>
      <c r="C7" t="str">
        <f t="shared" si="0"/>
        <v>History</v>
      </c>
      <c r="D7">
        <f t="shared" si="1"/>
        <v>70</v>
      </c>
      <c r="E7">
        <f t="shared" si="2"/>
        <v>100</v>
      </c>
      <c r="F7">
        <v>50</v>
      </c>
      <c r="G7" t="str">
        <f t="shared" si="3"/>
        <v>E</v>
      </c>
      <c r="L7" s="1" t="s">
        <v>27</v>
      </c>
      <c r="M7" s="1" t="s">
        <v>40</v>
      </c>
      <c r="N7" s="1" t="s">
        <v>34</v>
      </c>
    </row>
    <row r="8" spans="1:15" x14ac:dyDescent="0.25">
      <c r="A8" t="s">
        <v>7</v>
      </c>
      <c r="B8" t="s">
        <v>26</v>
      </c>
      <c r="C8" t="str">
        <f>IFERROR(VLOOKUP(B8,$L$1:$M$4,2,0),"")</f>
        <v/>
      </c>
      <c r="D8">
        <f>IFERROR(VLOOKUP(B8,$L$1:$O$4,3,0),35)</f>
        <v>35</v>
      </c>
      <c r="E8" t="e">
        <f t="shared" si="2"/>
        <v>#N/A</v>
      </c>
      <c r="F8">
        <v>85</v>
      </c>
      <c r="G8" t="str">
        <f t="shared" si="3"/>
        <v>B</v>
      </c>
      <c r="L8" t="s">
        <v>28</v>
      </c>
      <c r="M8">
        <v>0</v>
      </c>
      <c r="N8" t="s">
        <v>35</v>
      </c>
    </row>
    <row r="9" spans="1:15" x14ac:dyDescent="0.25">
      <c r="A9" t="s">
        <v>8</v>
      </c>
      <c r="B9" t="s">
        <v>17</v>
      </c>
      <c r="C9" t="str">
        <f t="shared" si="0"/>
        <v>History</v>
      </c>
      <c r="D9">
        <f t="shared" si="1"/>
        <v>70</v>
      </c>
      <c r="E9">
        <f t="shared" si="2"/>
        <v>100</v>
      </c>
      <c r="F9">
        <v>76</v>
      </c>
      <c r="G9" t="str">
        <f t="shared" si="3"/>
        <v>C</v>
      </c>
      <c r="L9" t="s">
        <v>29</v>
      </c>
      <c r="M9">
        <v>50</v>
      </c>
      <c r="N9" t="s">
        <v>15</v>
      </c>
    </row>
    <row r="10" spans="1:15" x14ac:dyDescent="0.25">
      <c r="A10" t="s">
        <v>9</v>
      </c>
      <c r="B10" t="s">
        <v>15</v>
      </c>
      <c r="C10" t="str">
        <f t="shared" si="0"/>
        <v>Economics</v>
      </c>
      <c r="D10">
        <f t="shared" si="1"/>
        <v>55</v>
      </c>
      <c r="E10">
        <f t="shared" si="2"/>
        <v>60</v>
      </c>
      <c r="F10">
        <v>83</v>
      </c>
      <c r="G10" t="str">
        <f t="shared" si="3"/>
        <v>B</v>
      </c>
      <c r="L10" t="s">
        <v>30</v>
      </c>
      <c r="M10">
        <v>60</v>
      </c>
      <c r="N10" t="s">
        <v>36</v>
      </c>
    </row>
    <row r="11" spans="1:15" x14ac:dyDescent="0.25">
      <c r="A11" t="s">
        <v>10</v>
      </c>
      <c r="B11" t="s">
        <v>15</v>
      </c>
      <c r="C11" t="str">
        <f t="shared" si="0"/>
        <v>Economics</v>
      </c>
      <c r="D11">
        <f t="shared" si="1"/>
        <v>55</v>
      </c>
      <c r="E11">
        <f t="shared" si="2"/>
        <v>60</v>
      </c>
      <c r="F11">
        <v>90</v>
      </c>
      <c r="G11" t="str">
        <f t="shared" si="3"/>
        <v>A</v>
      </c>
      <c r="L11" t="s">
        <v>31</v>
      </c>
      <c r="M11">
        <v>70</v>
      </c>
      <c r="N11" t="s">
        <v>37</v>
      </c>
    </row>
    <row r="12" spans="1:15" x14ac:dyDescent="0.25">
      <c r="A12" t="s">
        <v>11</v>
      </c>
      <c r="B12" t="s">
        <v>15</v>
      </c>
      <c r="C12" t="str">
        <f t="shared" si="0"/>
        <v>Economics</v>
      </c>
      <c r="D12">
        <f t="shared" si="1"/>
        <v>55</v>
      </c>
      <c r="E12">
        <f t="shared" si="2"/>
        <v>60</v>
      </c>
      <c r="F12">
        <v>42</v>
      </c>
      <c r="G12" t="str">
        <f t="shared" si="3"/>
        <v>Fail</v>
      </c>
      <c r="L12" t="s">
        <v>32</v>
      </c>
      <c r="M12">
        <v>80</v>
      </c>
      <c r="N12" t="s">
        <v>38</v>
      </c>
    </row>
    <row r="13" spans="1:15" x14ac:dyDescent="0.25">
      <c r="A13" t="s">
        <v>12</v>
      </c>
      <c r="B13" t="s">
        <v>16</v>
      </c>
      <c r="C13" t="str">
        <f t="shared" si="0"/>
        <v>Maths</v>
      </c>
      <c r="D13">
        <f t="shared" si="1"/>
        <v>40</v>
      </c>
      <c r="E13">
        <f t="shared" si="2"/>
        <v>75</v>
      </c>
      <c r="F13">
        <v>0</v>
      </c>
      <c r="G13" t="str">
        <f t="shared" si="3"/>
        <v>Fail</v>
      </c>
      <c r="L13" t="s">
        <v>33</v>
      </c>
      <c r="M13">
        <v>90</v>
      </c>
      <c r="N13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051DB-57EB-460C-A60E-D7CDEC04C9FD}">
  <dimension ref="C4:P15"/>
  <sheetViews>
    <sheetView zoomScale="115" zoomScaleNormal="115" workbookViewId="0">
      <selection activeCell="P13" sqref="P13"/>
    </sheetView>
  </sheetViews>
  <sheetFormatPr defaultRowHeight="15" x14ac:dyDescent="0.25"/>
  <sheetData>
    <row r="4" spans="3:16" x14ac:dyDescent="0.25">
      <c r="C4">
        <v>737</v>
      </c>
      <c r="D4">
        <v>907</v>
      </c>
      <c r="E4">
        <v>203</v>
      </c>
      <c r="F4">
        <v>44</v>
      </c>
      <c r="G4">
        <v>753</v>
      </c>
      <c r="H4">
        <v>548</v>
      </c>
      <c r="I4">
        <v>442</v>
      </c>
      <c r="J4">
        <v>327</v>
      </c>
      <c r="K4">
        <v>181</v>
      </c>
      <c r="L4">
        <v>487</v>
      </c>
      <c r="M4">
        <v>349</v>
      </c>
    </row>
    <row r="5" spans="3:16" x14ac:dyDescent="0.25">
      <c r="C5">
        <v>172</v>
      </c>
      <c r="D5">
        <v>962</v>
      </c>
      <c r="E5">
        <v>945</v>
      </c>
      <c r="F5">
        <v>707</v>
      </c>
      <c r="G5">
        <v>597</v>
      </c>
      <c r="H5">
        <v>814</v>
      </c>
      <c r="I5">
        <v>629</v>
      </c>
      <c r="J5">
        <v>644</v>
      </c>
      <c r="K5">
        <v>432</v>
      </c>
      <c r="L5">
        <v>860</v>
      </c>
      <c r="M5">
        <v>741</v>
      </c>
    </row>
    <row r="6" spans="3:16" x14ac:dyDescent="0.25">
      <c r="C6">
        <v>700</v>
      </c>
      <c r="D6">
        <v>118</v>
      </c>
      <c r="E6">
        <v>4</v>
      </c>
      <c r="F6">
        <v>195</v>
      </c>
      <c r="G6">
        <v>252</v>
      </c>
      <c r="H6">
        <v>417</v>
      </c>
      <c r="I6">
        <v>367</v>
      </c>
      <c r="J6">
        <v>333</v>
      </c>
      <c r="K6">
        <v>187</v>
      </c>
      <c r="L6">
        <v>586</v>
      </c>
      <c r="M6">
        <v>886</v>
      </c>
      <c r="P6">
        <f>INDEX(C4:M15,5,4)</f>
        <v>328</v>
      </c>
    </row>
    <row r="7" spans="3:16" x14ac:dyDescent="0.25">
      <c r="C7">
        <v>173</v>
      </c>
      <c r="D7">
        <v>456</v>
      </c>
      <c r="E7">
        <v>634</v>
      </c>
      <c r="F7">
        <v>557</v>
      </c>
      <c r="G7">
        <v>6</v>
      </c>
      <c r="H7">
        <v>415</v>
      </c>
      <c r="I7">
        <v>107</v>
      </c>
      <c r="J7">
        <v>582</v>
      </c>
      <c r="K7">
        <v>991</v>
      </c>
      <c r="L7">
        <v>914</v>
      </c>
      <c r="M7">
        <v>857</v>
      </c>
    </row>
    <row r="8" spans="3:16" x14ac:dyDescent="0.25">
      <c r="C8">
        <v>50</v>
      </c>
      <c r="D8">
        <v>32</v>
      </c>
      <c r="E8">
        <v>771</v>
      </c>
      <c r="F8">
        <v>328</v>
      </c>
      <c r="G8">
        <v>307</v>
      </c>
      <c r="H8">
        <v>832</v>
      </c>
      <c r="I8">
        <v>784</v>
      </c>
      <c r="J8">
        <v>360</v>
      </c>
      <c r="K8">
        <v>540</v>
      </c>
      <c r="L8">
        <v>717</v>
      </c>
      <c r="M8">
        <v>555</v>
      </c>
      <c r="P8">
        <f>INDEX(C4:M15,8,3)</f>
        <v>536</v>
      </c>
    </row>
    <row r="9" spans="3:16" x14ac:dyDescent="0.25">
      <c r="C9">
        <v>404</v>
      </c>
      <c r="D9">
        <v>566</v>
      </c>
      <c r="E9">
        <v>361</v>
      </c>
      <c r="F9">
        <v>694</v>
      </c>
      <c r="G9">
        <v>438</v>
      </c>
      <c r="H9">
        <v>179</v>
      </c>
      <c r="I9">
        <v>922</v>
      </c>
      <c r="J9">
        <v>591</v>
      </c>
      <c r="K9">
        <v>537</v>
      </c>
      <c r="L9">
        <v>207</v>
      </c>
      <c r="M9">
        <v>699</v>
      </c>
    </row>
    <row r="10" spans="3:16" x14ac:dyDescent="0.25">
      <c r="C10">
        <v>772</v>
      </c>
      <c r="D10">
        <v>832</v>
      </c>
      <c r="E10">
        <v>237</v>
      </c>
      <c r="F10">
        <v>169</v>
      </c>
      <c r="G10">
        <v>814</v>
      </c>
      <c r="H10">
        <v>678</v>
      </c>
      <c r="I10">
        <v>829</v>
      </c>
      <c r="J10">
        <v>653</v>
      </c>
      <c r="K10">
        <v>476</v>
      </c>
      <c r="L10">
        <v>727</v>
      </c>
      <c r="M10">
        <v>587</v>
      </c>
      <c r="P10">
        <f>INDEX(C4:M15,2,7)</f>
        <v>629</v>
      </c>
    </row>
    <row r="11" spans="3:16" x14ac:dyDescent="0.25">
      <c r="C11">
        <v>635</v>
      </c>
      <c r="D11">
        <v>91</v>
      </c>
      <c r="E11">
        <v>536</v>
      </c>
      <c r="F11">
        <v>241</v>
      </c>
      <c r="G11">
        <v>516</v>
      </c>
      <c r="H11">
        <v>181</v>
      </c>
      <c r="I11">
        <v>89</v>
      </c>
      <c r="J11">
        <v>641</v>
      </c>
      <c r="K11">
        <v>731</v>
      </c>
      <c r="L11">
        <v>314</v>
      </c>
      <c r="M11">
        <v>523</v>
      </c>
    </row>
    <row r="12" spans="3:16" x14ac:dyDescent="0.25">
      <c r="C12">
        <v>893</v>
      </c>
      <c r="D12">
        <v>284</v>
      </c>
      <c r="E12">
        <v>259</v>
      </c>
      <c r="F12">
        <v>426</v>
      </c>
      <c r="G12">
        <v>273</v>
      </c>
      <c r="H12">
        <v>652</v>
      </c>
      <c r="I12">
        <v>142</v>
      </c>
      <c r="J12">
        <v>54</v>
      </c>
      <c r="K12">
        <v>121</v>
      </c>
      <c r="L12">
        <v>443</v>
      </c>
      <c r="M12">
        <v>56</v>
      </c>
    </row>
    <row r="13" spans="3:16" x14ac:dyDescent="0.25">
      <c r="C13">
        <v>973</v>
      </c>
      <c r="D13">
        <v>616</v>
      </c>
      <c r="E13">
        <v>363</v>
      </c>
      <c r="F13">
        <v>857</v>
      </c>
      <c r="G13">
        <v>883</v>
      </c>
      <c r="H13">
        <v>50</v>
      </c>
      <c r="I13">
        <v>132</v>
      </c>
      <c r="J13">
        <v>432</v>
      </c>
      <c r="K13">
        <v>153</v>
      </c>
      <c r="L13">
        <v>506</v>
      </c>
      <c r="M13">
        <v>335</v>
      </c>
    </row>
    <row r="14" spans="3:16" x14ac:dyDescent="0.25">
      <c r="C14">
        <v>197</v>
      </c>
      <c r="D14">
        <v>11</v>
      </c>
      <c r="E14">
        <v>239</v>
      </c>
      <c r="F14">
        <v>427</v>
      </c>
      <c r="G14">
        <v>909</v>
      </c>
      <c r="H14">
        <v>475</v>
      </c>
      <c r="I14">
        <v>292</v>
      </c>
      <c r="J14">
        <v>699</v>
      </c>
      <c r="K14">
        <v>228</v>
      </c>
      <c r="L14">
        <v>22</v>
      </c>
      <c r="M14">
        <v>821</v>
      </c>
    </row>
    <row r="15" spans="3:16" x14ac:dyDescent="0.25">
      <c r="C15">
        <v>820</v>
      </c>
      <c r="D15">
        <v>527</v>
      </c>
      <c r="E15">
        <v>43</v>
      </c>
      <c r="F15">
        <v>128</v>
      </c>
      <c r="G15">
        <v>677</v>
      </c>
      <c r="H15">
        <v>770</v>
      </c>
      <c r="I15">
        <v>538</v>
      </c>
      <c r="J15">
        <v>787</v>
      </c>
      <c r="K15">
        <v>857</v>
      </c>
      <c r="L15">
        <v>753</v>
      </c>
      <c r="M15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1C134-A2D4-44C5-8812-D3072C60D4BD}">
  <dimension ref="B3:P18"/>
  <sheetViews>
    <sheetView workbookViewId="0">
      <selection activeCell="F11" sqref="F11"/>
    </sheetView>
  </sheetViews>
  <sheetFormatPr defaultRowHeight="15" x14ac:dyDescent="0.25"/>
  <sheetData>
    <row r="3" spans="2:16" x14ac:dyDescent="0.25">
      <c r="B3">
        <v>98</v>
      </c>
      <c r="D3">
        <f>MATCH(44,B3:B18,0)</f>
        <v>8</v>
      </c>
      <c r="H3">
        <v>1</v>
      </c>
      <c r="N3">
        <v>98</v>
      </c>
    </row>
    <row r="4" spans="2:16" x14ac:dyDescent="0.25">
      <c r="B4">
        <v>6</v>
      </c>
      <c r="H4">
        <v>6</v>
      </c>
      <c r="J4">
        <f>MATCH(70,H3:H18,1)</f>
        <v>9</v>
      </c>
      <c r="N4">
        <v>92</v>
      </c>
      <c r="P4" t="e">
        <f>MATCH(100,N3:N18,-1)</f>
        <v>#N/A</v>
      </c>
    </row>
    <row r="5" spans="2:16" x14ac:dyDescent="0.25">
      <c r="B5">
        <v>74</v>
      </c>
      <c r="D5">
        <f>MATCH(19,B3:B18,0)</f>
        <v>13</v>
      </c>
      <c r="H5">
        <v>16</v>
      </c>
      <c r="N5">
        <v>91</v>
      </c>
    </row>
    <row r="6" spans="2:16" x14ac:dyDescent="0.25">
      <c r="B6">
        <v>38</v>
      </c>
      <c r="H6">
        <v>19</v>
      </c>
      <c r="J6">
        <f>MATCH(88,H3:H18,1)</f>
        <v>13</v>
      </c>
      <c r="N6">
        <v>73</v>
      </c>
      <c r="P6">
        <f>MATCH(90,N3:N18,-1)</f>
        <v>3</v>
      </c>
    </row>
    <row r="7" spans="2:16" x14ac:dyDescent="0.25">
      <c r="B7">
        <v>11</v>
      </c>
      <c r="D7" t="e">
        <f>MATCH(80,B3:B18,0)</f>
        <v>#N/A</v>
      </c>
      <c r="H7">
        <v>36</v>
      </c>
      <c r="N7">
        <v>68</v>
      </c>
    </row>
    <row r="8" spans="2:16" x14ac:dyDescent="0.25">
      <c r="B8">
        <v>77</v>
      </c>
      <c r="H8">
        <v>41</v>
      </c>
      <c r="J8">
        <f>MATCH(30,H3:H18,1)</f>
        <v>4</v>
      </c>
      <c r="N8">
        <v>68</v>
      </c>
    </row>
    <row r="9" spans="2:16" x14ac:dyDescent="0.25">
      <c r="B9">
        <v>2</v>
      </c>
      <c r="H9">
        <v>54</v>
      </c>
      <c r="N9">
        <v>67</v>
      </c>
    </row>
    <row r="10" spans="2:16" x14ac:dyDescent="0.25">
      <c r="B10">
        <v>44</v>
      </c>
      <c r="H10">
        <v>54</v>
      </c>
      <c r="J10">
        <f>MATCH(90,H3:H18,1)</f>
        <v>14</v>
      </c>
      <c r="N10">
        <v>58</v>
      </c>
    </row>
    <row r="11" spans="2:16" x14ac:dyDescent="0.25">
      <c r="B11">
        <v>25</v>
      </c>
      <c r="H11">
        <v>70</v>
      </c>
      <c r="N11">
        <v>55</v>
      </c>
    </row>
    <row r="12" spans="2:16" x14ac:dyDescent="0.25">
      <c r="B12">
        <v>49</v>
      </c>
      <c r="H12">
        <v>76</v>
      </c>
      <c r="N12">
        <v>52</v>
      </c>
    </row>
    <row r="13" spans="2:16" x14ac:dyDescent="0.25">
      <c r="B13">
        <v>71</v>
      </c>
      <c r="H13">
        <v>81</v>
      </c>
      <c r="N13">
        <v>49</v>
      </c>
    </row>
    <row r="14" spans="2:16" x14ac:dyDescent="0.25">
      <c r="B14">
        <v>81</v>
      </c>
      <c r="H14">
        <v>87</v>
      </c>
      <c r="N14">
        <v>38</v>
      </c>
    </row>
    <row r="15" spans="2:16" x14ac:dyDescent="0.25">
      <c r="B15">
        <v>19</v>
      </c>
      <c r="H15">
        <v>88</v>
      </c>
      <c r="N15">
        <v>30</v>
      </c>
    </row>
    <row r="16" spans="2:16" x14ac:dyDescent="0.25">
      <c r="B16">
        <v>34</v>
      </c>
      <c r="H16">
        <v>89</v>
      </c>
      <c r="N16">
        <v>25</v>
      </c>
    </row>
    <row r="17" spans="2:14" x14ac:dyDescent="0.25">
      <c r="B17">
        <v>86</v>
      </c>
      <c r="H17">
        <v>92</v>
      </c>
      <c r="N17">
        <v>10</v>
      </c>
    </row>
    <row r="18" spans="2:14" x14ac:dyDescent="0.25">
      <c r="B18">
        <v>90</v>
      </c>
      <c r="H18">
        <v>94</v>
      </c>
      <c r="N18">
        <v>6</v>
      </c>
    </row>
  </sheetData>
  <sortState xmlns:xlrd2="http://schemas.microsoft.com/office/spreadsheetml/2017/richdata2" ref="N3:N18">
    <sortCondition descending="1" ref="N3:N18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D354-A4F2-4490-872E-A6E394B872A5}">
  <dimension ref="A1:E51"/>
  <sheetViews>
    <sheetView tabSelected="1" zoomScale="130" zoomScaleNormal="130" workbookViewId="0">
      <selection activeCell="H4" sqref="H4"/>
    </sheetView>
  </sheetViews>
  <sheetFormatPr defaultRowHeight="15" x14ac:dyDescent="0.25"/>
  <sheetData>
    <row r="1" spans="1:5" x14ac:dyDescent="0.25">
      <c r="A1" s="2" t="s">
        <v>92</v>
      </c>
      <c r="B1" s="2" t="s">
        <v>93</v>
      </c>
      <c r="C1" s="2" t="s">
        <v>41</v>
      </c>
      <c r="D1" s="2" t="s">
        <v>94</v>
      </c>
      <c r="E1" s="2" t="s">
        <v>95</v>
      </c>
    </row>
    <row r="2" spans="1:5" x14ac:dyDescent="0.25">
      <c r="A2" t="s">
        <v>96</v>
      </c>
      <c r="B2" t="s">
        <v>97</v>
      </c>
      <c r="C2" t="s">
        <v>42</v>
      </c>
      <c r="D2">
        <v>57900</v>
      </c>
      <c r="E2">
        <v>57</v>
      </c>
    </row>
    <row r="3" spans="1:5" x14ac:dyDescent="0.25">
      <c r="A3" t="s">
        <v>98</v>
      </c>
      <c r="B3" t="s">
        <v>99</v>
      </c>
      <c r="C3" t="s">
        <v>43</v>
      </c>
      <c r="D3">
        <v>96400</v>
      </c>
      <c r="E3">
        <v>31</v>
      </c>
    </row>
    <row r="4" spans="1:5" x14ac:dyDescent="0.25">
      <c r="A4" t="s">
        <v>96</v>
      </c>
      <c r="B4" t="s">
        <v>100</v>
      </c>
      <c r="C4" t="s">
        <v>44</v>
      </c>
      <c r="D4">
        <v>60600</v>
      </c>
      <c r="E4">
        <v>38</v>
      </c>
    </row>
    <row r="5" spans="1:5" x14ac:dyDescent="0.25">
      <c r="A5" t="s">
        <v>98</v>
      </c>
      <c r="B5" t="s">
        <v>100</v>
      </c>
      <c r="C5" t="s">
        <v>45</v>
      </c>
      <c r="D5">
        <v>46400</v>
      </c>
      <c r="E5">
        <v>41</v>
      </c>
    </row>
    <row r="6" spans="1:5" x14ac:dyDescent="0.25">
      <c r="A6" t="s">
        <v>101</v>
      </c>
      <c r="B6" t="s">
        <v>100</v>
      </c>
      <c r="C6" t="s">
        <v>46</v>
      </c>
      <c r="D6">
        <v>47700</v>
      </c>
      <c r="E6">
        <v>38</v>
      </c>
    </row>
    <row r="7" spans="1:5" x14ac:dyDescent="0.25">
      <c r="A7" t="s">
        <v>96</v>
      </c>
      <c r="B7" t="s">
        <v>102</v>
      </c>
      <c r="C7" t="s">
        <v>47</v>
      </c>
      <c r="D7">
        <v>41200</v>
      </c>
      <c r="E7">
        <v>26</v>
      </c>
    </row>
    <row r="8" spans="1:5" x14ac:dyDescent="0.25">
      <c r="A8" t="s">
        <v>96</v>
      </c>
      <c r="B8" t="s">
        <v>102</v>
      </c>
      <c r="C8" t="s">
        <v>48</v>
      </c>
      <c r="D8">
        <v>61400</v>
      </c>
      <c r="E8">
        <v>21</v>
      </c>
    </row>
    <row r="9" spans="1:5" x14ac:dyDescent="0.25">
      <c r="A9" t="s">
        <v>103</v>
      </c>
      <c r="B9" t="s">
        <v>97</v>
      </c>
      <c r="C9" t="s">
        <v>49</v>
      </c>
      <c r="D9">
        <v>53800</v>
      </c>
      <c r="E9">
        <v>28</v>
      </c>
    </row>
    <row r="10" spans="1:5" x14ac:dyDescent="0.25">
      <c r="A10" t="s">
        <v>98</v>
      </c>
      <c r="B10" t="s">
        <v>99</v>
      </c>
      <c r="C10" t="s">
        <v>50</v>
      </c>
      <c r="D10">
        <v>74600</v>
      </c>
      <c r="E10">
        <v>34</v>
      </c>
    </row>
    <row r="11" spans="1:5" x14ac:dyDescent="0.25">
      <c r="A11" t="s">
        <v>104</v>
      </c>
      <c r="B11" t="s">
        <v>100</v>
      </c>
      <c r="C11" t="s">
        <v>51</v>
      </c>
      <c r="D11">
        <v>39500</v>
      </c>
      <c r="E11">
        <v>39</v>
      </c>
    </row>
    <row r="12" spans="1:5" x14ac:dyDescent="0.25">
      <c r="A12" t="s">
        <v>105</v>
      </c>
      <c r="B12" t="s">
        <v>106</v>
      </c>
      <c r="C12" t="s">
        <v>52</v>
      </c>
      <c r="D12">
        <v>13000</v>
      </c>
      <c r="E12">
        <v>58</v>
      </c>
    </row>
    <row r="13" spans="1:5" x14ac:dyDescent="0.25">
      <c r="A13" t="s">
        <v>103</v>
      </c>
      <c r="B13" t="s">
        <v>106</v>
      </c>
      <c r="C13" t="s">
        <v>53</v>
      </c>
      <c r="D13">
        <v>57500</v>
      </c>
      <c r="E13">
        <v>51</v>
      </c>
    </row>
    <row r="14" spans="1:5" x14ac:dyDescent="0.25">
      <c r="A14" t="s">
        <v>103</v>
      </c>
      <c r="B14" t="s">
        <v>102</v>
      </c>
      <c r="C14" t="s">
        <v>54</v>
      </c>
      <c r="D14">
        <v>21800</v>
      </c>
      <c r="E14">
        <v>38</v>
      </c>
    </row>
    <row r="15" spans="1:5" x14ac:dyDescent="0.25">
      <c r="A15" t="s">
        <v>96</v>
      </c>
      <c r="B15" t="s">
        <v>102</v>
      </c>
      <c r="C15" t="s">
        <v>55</v>
      </c>
      <c r="D15">
        <v>31400</v>
      </c>
      <c r="E15">
        <v>25</v>
      </c>
    </row>
    <row r="16" spans="1:5" x14ac:dyDescent="0.25">
      <c r="A16" t="s">
        <v>98</v>
      </c>
      <c r="B16" t="s">
        <v>106</v>
      </c>
      <c r="C16" t="s">
        <v>56</v>
      </c>
      <c r="D16">
        <v>21200</v>
      </c>
      <c r="E16">
        <v>53</v>
      </c>
    </row>
    <row r="17" spans="1:5" x14ac:dyDescent="0.25">
      <c r="A17" t="s">
        <v>103</v>
      </c>
      <c r="B17" t="s">
        <v>97</v>
      </c>
      <c r="C17" t="s">
        <v>57</v>
      </c>
      <c r="D17">
        <v>21000</v>
      </c>
      <c r="E17">
        <v>23</v>
      </c>
    </row>
    <row r="18" spans="1:5" x14ac:dyDescent="0.25">
      <c r="A18" t="s">
        <v>96</v>
      </c>
      <c r="B18" t="s">
        <v>100</v>
      </c>
      <c r="C18" t="s">
        <v>58</v>
      </c>
      <c r="D18">
        <v>97500</v>
      </c>
      <c r="E18">
        <v>45</v>
      </c>
    </row>
    <row r="19" spans="1:5" x14ac:dyDescent="0.25">
      <c r="A19" t="s">
        <v>107</v>
      </c>
      <c r="B19" t="s">
        <v>99</v>
      </c>
      <c r="C19" t="s">
        <v>59</v>
      </c>
      <c r="D19">
        <v>59100</v>
      </c>
      <c r="E19">
        <v>37</v>
      </c>
    </row>
    <row r="20" spans="1:5" x14ac:dyDescent="0.25">
      <c r="A20" t="s">
        <v>96</v>
      </c>
      <c r="B20" t="s">
        <v>97</v>
      </c>
      <c r="C20" t="s">
        <v>60</v>
      </c>
      <c r="D20">
        <v>37600</v>
      </c>
      <c r="E20">
        <v>31</v>
      </c>
    </row>
    <row r="21" spans="1:5" x14ac:dyDescent="0.25">
      <c r="A21" t="s">
        <v>101</v>
      </c>
      <c r="B21" t="s">
        <v>102</v>
      </c>
      <c r="C21" t="s">
        <v>61</v>
      </c>
      <c r="D21">
        <v>37900</v>
      </c>
      <c r="E21">
        <v>29</v>
      </c>
    </row>
    <row r="22" spans="1:5" x14ac:dyDescent="0.25">
      <c r="A22" t="s">
        <v>101</v>
      </c>
      <c r="B22" t="s">
        <v>99</v>
      </c>
      <c r="C22" t="s">
        <v>62</v>
      </c>
      <c r="D22">
        <v>55200</v>
      </c>
      <c r="E22">
        <v>42</v>
      </c>
    </row>
    <row r="23" spans="1:5" x14ac:dyDescent="0.25">
      <c r="A23" t="s">
        <v>107</v>
      </c>
      <c r="B23" t="s">
        <v>99</v>
      </c>
      <c r="C23" t="s">
        <v>63</v>
      </c>
      <c r="D23">
        <v>35500</v>
      </c>
      <c r="E23">
        <v>39</v>
      </c>
    </row>
    <row r="24" spans="1:5" x14ac:dyDescent="0.25">
      <c r="A24" t="s">
        <v>103</v>
      </c>
      <c r="B24" t="s">
        <v>100</v>
      </c>
      <c r="C24" t="s">
        <v>64</v>
      </c>
      <c r="D24">
        <v>42500</v>
      </c>
      <c r="E24">
        <v>46</v>
      </c>
    </row>
    <row r="25" spans="1:5" x14ac:dyDescent="0.25">
      <c r="A25" t="s">
        <v>98</v>
      </c>
      <c r="B25" t="s">
        <v>102</v>
      </c>
      <c r="C25" t="s">
        <v>65</v>
      </c>
      <c r="D25">
        <v>11000</v>
      </c>
      <c r="E25">
        <v>50</v>
      </c>
    </row>
    <row r="26" spans="1:5" x14ac:dyDescent="0.25">
      <c r="A26" t="s">
        <v>103</v>
      </c>
      <c r="B26" t="s">
        <v>97</v>
      </c>
      <c r="C26" t="s">
        <v>66</v>
      </c>
      <c r="D26">
        <v>26400</v>
      </c>
      <c r="E26">
        <v>57</v>
      </c>
    </row>
    <row r="27" spans="1:5" x14ac:dyDescent="0.25">
      <c r="A27" t="s">
        <v>101</v>
      </c>
      <c r="B27" t="s">
        <v>102</v>
      </c>
      <c r="C27" t="s">
        <v>67</v>
      </c>
      <c r="D27">
        <v>26800</v>
      </c>
      <c r="E27">
        <v>51</v>
      </c>
    </row>
    <row r="28" spans="1:5" x14ac:dyDescent="0.25">
      <c r="A28" t="s">
        <v>96</v>
      </c>
      <c r="B28" t="s">
        <v>102</v>
      </c>
      <c r="C28" t="s">
        <v>68</v>
      </c>
      <c r="D28">
        <v>93400</v>
      </c>
      <c r="E28">
        <v>35</v>
      </c>
    </row>
    <row r="29" spans="1:5" x14ac:dyDescent="0.25">
      <c r="A29" t="s">
        <v>101</v>
      </c>
      <c r="B29" t="s">
        <v>102</v>
      </c>
      <c r="C29" t="s">
        <v>69</v>
      </c>
      <c r="D29">
        <v>89800</v>
      </c>
      <c r="E29">
        <v>27</v>
      </c>
    </row>
    <row r="30" spans="1:5" x14ac:dyDescent="0.25">
      <c r="A30" t="s">
        <v>105</v>
      </c>
      <c r="B30" t="s">
        <v>99</v>
      </c>
      <c r="C30" t="s">
        <v>70</v>
      </c>
      <c r="D30">
        <v>57800</v>
      </c>
      <c r="E30">
        <v>27</v>
      </c>
    </row>
    <row r="31" spans="1:5" x14ac:dyDescent="0.25">
      <c r="A31" t="s">
        <v>98</v>
      </c>
      <c r="B31" t="s">
        <v>99</v>
      </c>
      <c r="C31" t="s">
        <v>71</v>
      </c>
      <c r="D31">
        <v>55800</v>
      </c>
      <c r="E31">
        <v>50</v>
      </c>
    </row>
    <row r="32" spans="1:5" x14ac:dyDescent="0.25">
      <c r="A32" t="s">
        <v>96</v>
      </c>
      <c r="B32" t="s">
        <v>106</v>
      </c>
      <c r="C32" t="s">
        <v>72</v>
      </c>
      <c r="D32">
        <v>51800</v>
      </c>
      <c r="E32">
        <v>29</v>
      </c>
    </row>
    <row r="33" spans="1:5" x14ac:dyDescent="0.25">
      <c r="A33" t="s">
        <v>105</v>
      </c>
      <c r="B33" t="s">
        <v>97</v>
      </c>
      <c r="C33" t="s">
        <v>73</v>
      </c>
      <c r="D33">
        <v>20100</v>
      </c>
      <c r="E33">
        <v>43</v>
      </c>
    </row>
    <row r="34" spans="1:5" x14ac:dyDescent="0.25">
      <c r="A34" t="s">
        <v>104</v>
      </c>
      <c r="B34" t="s">
        <v>99</v>
      </c>
      <c r="C34" t="s">
        <v>74</v>
      </c>
      <c r="D34">
        <v>40300</v>
      </c>
      <c r="E34">
        <v>45</v>
      </c>
    </row>
    <row r="35" spans="1:5" x14ac:dyDescent="0.25">
      <c r="A35" t="s">
        <v>105</v>
      </c>
      <c r="B35" t="s">
        <v>99</v>
      </c>
      <c r="C35" t="s">
        <v>75</v>
      </c>
      <c r="D35">
        <v>20100</v>
      </c>
      <c r="E35">
        <v>29</v>
      </c>
    </row>
    <row r="36" spans="1:5" x14ac:dyDescent="0.25">
      <c r="A36" t="s">
        <v>104</v>
      </c>
      <c r="B36" t="s">
        <v>97</v>
      </c>
      <c r="C36" t="s">
        <v>76</v>
      </c>
      <c r="D36">
        <v>63100</v>
      </c>
      <c r="E36">
        <v>47</v>
      </c>
    </row>
    <row r="37" spans="1:5" x14ac:dyDescent="0.25">
      <c r="A37" t="s">
        <v>103</v>
      </c>
      <c r="B37" t="s">
        <v>99</v>
      </c>
      <c r="C37" t="s">
        <v>77</v>
      </c>
      <c r="D37">
        <v>83500</v>
      </c>
      <c r="E37">
        <v>51</v>
      </c>
    </row>
    <row r="38" spans="1:5" x14ac:dyDescent="0.25">
      <c r="A38" t="s">
        <v>101</v>
      </c>
      <c r="B38" t="s">
        <v>102</v>
      </c>
      <c r="C38" t="s">
        <v>78</v>
      </c>
      <c r="D38">
        <v>60100</v>
      </c>
      <c r="E38">
        <v>60</v>
      </c>
    </row>
    <row r="39" spans="1:5" x14ac:dyDescent="0.25">
      <c r="A39" t="s">
        <v>96</v>
      </c>
      <c r="B39" t="s">
        <v>102</v>
      </c>
      <c r="C39" t="s">
        <v>79</v>
      </c>
      <c r="D39">
        <v>44800</v>
      </c>
      <c r="E39">
        <v>47</v>
      </c>
    </row>
    <row r="40" spans="1:5" x14ac:dyDescent="0.25">
      <c r="A40" t="s">
        <v>101</v>
      </c>
      <c r="B40" t="s">
        <v>97</v>
      </c>
      <c r="C40" t="s">
        <v>80</v>
      </c>
      <c r="D40">
        <v>81800</v>
      </c>
      <c r="E40">
        <v>21</v>
      </c>
    </row>
    <row r="41" spans="1:5" x14ac:dyDescent="0.25">
      <c r="A41" t="s">
        <v>103</v>
      </c>
      <c r="B41" t="s">
        <v>106</v>
      </c>
      <c r="C41" t="s">
        <v>81</v>
      </c>
      <c r="D41">
        <v>90200</v>
      </c>
      <c r="E41">
        <v>26</v>
      </c>
    </row>
    <row r="42" spans="1:5" x14ac:dyDescent="0.25">
      <c r="A42" t="s">
        <v>101</v>
      </c>
      <c r="B42" t="s">
        <v>102</v>
      </c>
      <c r="C42" t="s">
        <v>82</v>
      </c>
      <c r="D42">
        <v>34600</v>
      </c>
      <c r="E42">
        <v>49</v>
      </c>
    </row>
    <row r="43" spans="1:5" x14ac:dyDescent="0.25">
      <c r="A43" t="s">
        <v>98</v>
      </c>
      <c r="B43" t="s">
        <v>99</v>
      </c>
      <c r="C43" t="s">
        <v>83</v>
      </c>
      <c r="D43">
        <v>62100</v>
      </c>
      <c r="E43">
        <v>38</v>
      </c>
    </row>
    <row r="44" spans="1:5" x14ac:dyDescent="0.25">
      <c r="A44" t="s">
        <v>103</v>
      </c>
      <c r="B44" t="s">
        <v>100</v>
      </c>
      <c r="C44" t="s">
        <v>84</v>
      </c>
      <c r="D44">
        <v>43400</v>
      </c>
      <c r="E44">
        <v>56</v>
      </c>
    </row>
    <row r="45" spans="1:5" x14ac:dyDescent="0.25">
      <c r="A45" t="s">
        <v>104</v>
      </c>
      <c r="B45" t="s">
        <v>100</v>
      </c>
      <c r="C45" t="s">
        <v>85</v>
      </c>
      <c r="D45">
        <v>63800</v>
      </c>
      <c r="E45">
        <v>46</v>
      </c>
    </row>
    <row r="46" spans="1:5" x14ac:dyDescent="0.25">
      <c r="A46" t="s">
        <v>104</v>
      </c>
      <c r="B46" t="s">
        <v>106</v>
      </c>
      <c r="C46" t="s">
        <v>86</v>
      </c>
      <c r="D46">
        <v>62900</v>
      </c>
      <c r="E46">
        <v>56</v>
      </c>
    </row>
    <row r="47" spans="1:5" x14ac:dyDescent="0.25">
      <c r="A47" t="s">
        <v>105</v>
      </c>
      <c r="B47" t="s">
        <v>106</v>
      </c>
      <c r="C47" t="s">
        <v>87</v>
      </c>
      <c r="D47">
        <v>47900</v>
      </c>
      <c r="E47">
        <v>55</v>
      </c>
    </row>
    <row r="48" spans="1:5" x14ac:dyDescent="0.25">
      <c r="A48" t="s">
        <v>104</v>
      </c>
      <c r="B48" t="s">
        <v>102</v>
      </c>
      <c r="C48" t="s">
        <v>88</v>
      </c>
      <c r="D48">
        <v>69900</v>
      </c>
      <c r="E48">
        <v>39</v>
      </c>
    </row>
    <row r="49" spans="1:5" x14ac:dyDescent="0.25">
      <c r="A49" t="s">
        <v>101</v>
      </c>
      <c r="B49" t="s">
        <v>99</v>
      </c>
      <c r="C49" t="s">
        <v>89</v>
      </c>
      <c r="D49">
        <v>71400</v>
      </c>
      <c r="E49">
        <v>51</v>
      </c>
    </row>
    <row r="50" spans="1:5" x14ac:dyDescent="0.25">
      <c r="A50" t="s">
        <v>103</v>
      </c>
      <c r="B50" t="s">
        <v>106</v>
      </c>
      <c r="C50" t="s">
        <v>90</v>
      </c>
      <c r="D50">
        <v>63900</v>
      </c>
      <c r="E50">
        <v>58</v>
      </c>
    </row>
    <row r="51" spans="1:5" x14ac:dyDescent="0.25">
      <c r="A51" t="s">
        <v>103</v>
      </c>
      <c r="B51" t="s">
        <v>106</v>
      </c>
      <c r="C51" t="s">
        <v>91</v>
      </c>
      <c r="D51">
        <v>11500</v>
      </c>
      <c r="E51">
        <v>50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Sheet2</vt:lpstr>
      <vt:lpstr>Sheet3</vt:lpstr>
      <vt:lpstr>Sheet4</vt:lpstr>
      <vt:lpstr>EmpData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Babu Singam</dc:creator>
  <cp:lastModifiedBy>Ravi Babu Singam</cp:lastModifiedBy>
  <dcterms:created xsi:type="dcterms:W3CDTF">2026-02-24T05:54:01Z</dcterms:created>
  <dcterms:modified xsi:type="dcterms:W3CDTF">2026-02-25T06:06:36Z</dcterms:modified>
</cp:coreProperties>
</file>